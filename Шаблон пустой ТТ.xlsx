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345" yWindow="210" windowWidth="15495" windowHeight="11760" tabRatio="656"/>
  </bookViews>
  <sheets>
    <sheet name="Лист1" sheetId="1" r:id="rId1"/>
    <sheet name="Лист2" sheetId="38" r:id="rId2"/>
  </sheets>
  <definedNames>
    <definedName name="KT">Лист1!$L$38:$L$41</definedName>
    <definedName name="_xlnm.Print_Area" localSheetId="0">Лист1!$A$1:$J$68</definedName>
  </definedNames>
  <calcPr calcId="145621"/>
</workbook>
</file>

<file path=xl/calcChain.xml><?xml version="1.0" encoding="utf-8"?>
<calcChain xmlns="http://schemas.openxmlformats.org/spreadsheetml/2006/main">
  <c r="B56" i="1" l="1"/>
  <c r="J57" i="1" l="1"/>
  <c r="I57" i="1"/>
  <c r="H57" i="1"/>
  <c r="G57" i="1"/>
  <c r="E57" i="1"/>
  <c r="F57" i="1" l="1"/>
  <c r="C57" i="1" l="1"/>
  <c r="C61" i="1" s="1"/>
  <c r="C63" i="1"/>
  <c r="J61" i="1" l="1"/>
  <c r="I61" i="1"/>
  <c r="H61" i="1"/>
  <c r="G61" i="1"/>
  <c r="F61" i="1"/>
  <c r="E61" i="1"/>
  <c r="J60" i="1"/>
  <c r="I60" i="1"/>
  <c r="H60" i="1"/>
  <c r="G60" i="1"/>
  <c r="F60" i="1"/>
  <c r="E60" i="1"/>
  <c r="J59" i="1"/>
  <c r="I59" i="1"/>
  <c r="H59" i="1"/>
  <c r="G59" i="1"/>
  <c r="F59" i="1"/>
  <c r="E59" i="1"/>
  <c r="J58" i="1"/>
  <c r="I58" i="1"/>
  <c r="H58" i="1"/>
  <c r="G58" i="1"/>
  <c r="F58" i="1"/>
  <c r="E58" i="1"/>
  <c r="AA61" i="1" l="1"/>
  <c r="AA60" i="1"/>
  <c r="AA58" i="1"/>
  <c r="AA59" i="1"/>
  <c r="AF61" i="1"/>
  <c r="AE61" i="1"/>
  <c r="AD61" i="1"/>
  <c r="AC61" i="1"/>
  <c r="AB61" i="1"/>
  <c r="AF60" i="1"/>
  <c r="AE60" i="1"/>
  <c r="AD60" i="1"/>
  <c r="AC60" i="1"/>
  <c r="AB60" i="1"/>
  <c r="AF59" i="1"/>
  <c r="AE59" i="1"/>
  <c r="AD59" i="1"/>
  <c r="AC59" i="1"/>
  <c r="AB59" i="1"/>
  <c r="AF58" i="1"/>
  <c r="AE58" i="1"/>
  <c r="AD58" i="1"/>
  <c r="AC58" i="1"/>
  <c r="AB58" i="1"/>
  <c r="O63" i="1" l="1"/>
  <c r="G63" i="1" s="1"/>
  <c r="U46" i="1"/>
  <c r="T47" i="1"/>
  <c r="R49" i="1"/>
  <c r="T49" i="1"/>
  <c r="S46" i="1"/>
  <c r="U49" i="1"/>
  <c r="U45" i="1"/>
  <c r="T46" i="1"/>
  <c r="S47" i="1"/>
  <c r="R48" i="1"/>
  <c r="U48" i="1"/>
  <c r="U47" i="1"/>
  <c r="T48" i="1"/>
  <c r="S49" i="1"/>
  <c r="S45" i="1"/>
  <c r="R46" i="1"/>
  <c r="S48" i="1"/>
  <c r="R45" i="1"/>
  <c r="T45" i="1"/>
  <c r="R47" i="1"/>
  <c r="P45" i="1"/>
  <c r="O45" i="1"/>
  <c r="Q45" i="1"/>
  <c r="N45" i="1"/>
  <c r="D63" i="1"/>
  <c r="Q63" i="1"/>
  <c r="M63" i="1"/>
  <c r="I63" i="1" l="1"/>
  <c r="E63" i="1"/>
  <c r="W58" i="1" l="1"/>
  <c r="Y61" i="1"/>
  <c r="Y60" i="1"/>
  <c r="Y59" i="1"/>
  <c r="Y58" i="1"/>
  <c r="Y57" i="1"/>
  <c r="W61" i="1"/>
  <c r="W60" i="1"/>
  <c r="W59" i="1"/>
  <c r="W57" i="1"/>
  <c r="U61" i="1"/>
  <c r="U60" i="1"/>
  <c r="U59" i="1"/>
  <c r="U58" i="1"/>
  <c r="U57" i="1"/>
  <c r="X61" i="1"/>
  <c r="X60" i="1"/>
  <c r="X59" i="1"/>
  <c r="X58" i="1"/>
  <c r="X57" i="1"/>
  <c r="V61" i="1"/>
  <c r="V60" i="1"/>
  <c r="V59" i="1"/>
  <c r="V58" i="1"/>
  <c r="V57" i="1"/>
  <c r="T61" i="1"/>
  <c r="T60" i="1"/>
  <c r="T59" i="1"/>
  <c r="T58" i="1"/>
  <c r="T57" i="1"/>
  <c r="R61" i="1"/>
  <c r="R60" i="1"/>
  <c r="R59" i="1"/>
  <c r="R58" i="1"/>
  <c r="R57" i="1"/>
  <c r="P61" i="1"/>
  <c r="P60" i="1"/>
  <c r="P59" i="1"/>
  <c r="P58" i="1"/>
  <c r="P57" i="1"/>
  <c r="N57" i="1"/>
  <c r="N61" i="1"/>
  <c r="N60" i="1"/>
  <c r="N59" i="1"/>
  <c r="N58" i="1"/>
  <c r="Q61" i="1"/>
  <c r="Q60" i="1"/>
  <c r="Q59" i="1"/>
  <c r="Q58" i="1"/>
  <c r="Q57" i="1"/>
  <c r="O61" i="1"/>
  <c r="O60" i="1"/>
  <c r="O59" i="1"/>
  <c r="O58" i="1"/>
  <c r="O57" i="1"/>
  <c r="M61" i="1"/>
  <c r="M60" i="1"/>
  <c r="M59" i="1"/>
  <c r="M58" i="1"/>
  <c r="M57" i="1"/>
  <c r="Q48" i="1"/>
  <c r="Q47" i="1"/>
  <c r="Q49" i="1"/>
  <c r="Q46" i="1"/>
  <c r="P49" i="1"/>
  <c r="P48" i="1"/>
  <c r="P47" i="1"/>
  <c r="P46" i="1"/>
  <c r="O49" i="1"/>
  <c r="O48" i="1"/>
  <c r="O47" i="1"/>
  <c r="O46" i="1"/>
  <c r="N49" i="1"/>
  <c r="N48" i="1"/>
  <c r="N47" i="1"/>
  <c r="N46" i="1"/>
</calcChain>
</file>

<file path=xl/sharedStrings.xml><?xml version="1.0" encoding="utf-8"?>
<sst xmlns="http://schemas.openxmlformats.org/spreadsheetml/2006/main" count="115" uniqueCount="86">
  <si>
    <t xml:space="preserve">ПРОТОКОЛ ПОВЕРКИ № </t>
  </si>
  <si>
    <t>Вид поверки</t>
  </si>
  <si>
    <t>Период проведения поверки (даты)</t>
  </si>
  <si>
    <t xml:space="preserve">Владелец СИ </t>
  </si>
  <si>
    <t>Место выполнения работы (адрес, корпус)</t>
  </si>
  <si>
    <t>-</t>
  </si>
  <si>
    <t xml:space="preserve">Отметка о поверке в сокращенном объеме </t>
  </si>
  <si>
    <t>Номер знака предыдущей поверки</t>
  </si>
  <si>
    <t>Заводской (серийный) номер</t>
  </si>
  <si>
    <t>Номер и наименование методики поверки</t>
  </si>
  <si>
    <t>Условия проведения операций поверки:</t>
  </si>
  <si>
    <t>нормируемые</t>
  </si>
  <si>
    <t>текущие</t>
  </si>
  <si>
    <t>ед. изм.</t>
  </si>
  <si>
    <t>Температура окружающей среды</t>
  </si>
  <si>
    <t>Атмосферное давление</t>
  </si>
  <si>
    <t>Относительная влажность воздуха</t>
  </si>
  <si>
    <t>от 30 до 80</t>
  </si>
  <si>
    <t>от</t>
  </si>
  <si>
    <t>Средства поверки:</t>
  </si>
  <si>
    <t xml:space="preserve">Результаты поверки: </t>
  </si>
  <si>
    <t xml:space="preserve">1. Внешний осмотр: </t>
  </si>
  <si>
    <t>Поверитель</t>
  </si>
  <si>
    <t>Фамилия, имя, отчество</t>
  </si>
  <si>
    <t>0,2S</t>
  </si>
  <si>
    <t xml:space="preserve">от 629 до 793 </t>
  </si>
  <si>
    <t>мм рт. ст</t>
  </si>
  <si>
    <t>%</t>
  </si>
  <si>
    <t>°С</t>
  </si>
  <si>
    <t>Периодическая</t>
  </si>
  <si>
    <t xml:space="preserve">на табличке трансформатора четко указаны его метрологические и технические данные: </t>
  </si>
  <si>
    <t>контактные зажимы, выводы первичной и вторичной обмоток        исправны и        снабжены маркировкой;</t>
  </si>
  <si>
    <t>Класс  точности</t>
  </si>
  <si>
    <t>Номинальный первичный ток, А</t>
  </si>
  <si>
    <t>Номинальный вторичный ток, А</t>
  </si>
  <si>
    <t>2. Проверка сопротивления изоляции</t>
  </si>
  <si>
    <t>Результат проверки:  соответствует п. 9.2 МП.</t>
  </si>
  <si>
    <t>4. Проверка правильности обозначения контактных зажимов и выводов</t>
  </si>
  <si>
    <t>5. Определение погрешности</t>
  </si>
  <si>
    <t>Номинальный ток, А</t>
  </si>
  <si>
    <t>Погрешность поверяемого трансформатора</t>
  </si>
  <si>
    <t>δ, %</t>
  </si>
  <si>
    <t>Фаза А</t>
  </si>
  <si>
    <t>Фаза В</t>
  </si>
  <si>
    <t>Фаза С</t>
  </si>
  <si>
    <t>Заключение: метрологические характеристики  соответствуют заявленному классу точности по ГОСТ 7746 и требованиям, установленным в описании типа. Средство измерений признано пригодным к применению.</t>
  </si>
  <si>
    <t>3. Размагничивание проведено по второму способу  п. 9.3.3 МП.</t>
  </si>
  <si>
    <t>Нагрузка
 поверяемого 
трансформа-тора
 тока, ВА</t>
  </si>
  <si>
    <t>Часто-та, Гц</t>
  </si>
  <si>
    <t xml:space="preserve">Год выпуска СИ:  </t>
  </si>
  <si>
    <t>0,5S</t>
  </si>
  <si>
    <t>10Р</t>
  </si>
  <si>
    <r>
      <t>∆j</t>
    </r>
    <r>
      <rPr>
        <sz val="14"/>
        <color rgb="FF000000"/>
        <rFont val="Calibri"/>
        <family val="2"/>
        <charset val="204"/>
        <scheme val="minor"/>
      </rPr>
      <t>, мин</t>
    </r>
  </si>
  <si>
    <t>1И1-1И2</t>
  </si>
  <si>
    <t>2И1-2И2</t>
  </si>
  <si>
    <t>Результат проверки: контактные зажимы обозначены                 правильно.</t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</si>
  <si>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>НОМ</t>
    </r>
    <r>
      <rPr>
        <sz val="14"/>
        <color theme="1"/>
        <rFont val="Calibri"/>
        <family val="2"/>
        <charset val="204"/>
        <scheme val="minor"/>
      </rPr>
      <t>, В·А</t>
    </r>
  </si>
  <si>
    <t>Значение первич-
ного тока, 
% от
 номиналь-ного 
значения</t>
  </si>
  <si>
    <t> ГОСТ 8.217-2024 ГСИ. Трансформаторы тока. Методика поверки</t>
  </si>
  <si>
    <t>Федеральное государственное унитарное предприятие  «Всероссийский научно-исследовательский институт физико-технических и радиотехнических измерений»  Западно-Сибирский филиал ФГУП «ВНИИФТРИ»</t>
  </si>
  <si>
    <t>Погрешность %</t>
  </si>
  <si>
    <t>Погрешность ∆j, мин</t>
  </si>
  <si>
    <t xml:space="preserve"> </t>
  </si>
  <si>
    <t xml:space="preserve">2. Прибор для измерения электроэнергетических величин и показателей качества электрической энергии «Энергомонитор-3.3Т1», </t>
  </si>
  <si>
    <t>1. Трансформатор тока измерительный лабораторный ТЛЛ, мод. ТЛЛ-0,66-4 УХЛ4.2, 2 разряд, зав. № 02,</t>
  </si>
  <si>
    <t>Наименование СИ</t>
  </si>
  <si>
    <t>Трансформатор тока</t>
  </si>
  <si>
    <t>Наименование, тип (модификация) средства измерений</t>
  </si>
  <si>
    <t>Регистрационный номер в ФИФ</t>
  </si>
  <si>
    <t>Вагин Александр Юрьевич</t>
  </si>
  <si>
    <t xml:space="preserve">действ. до </t>
  </si>
  <si>
    <t xml:space="preserve"> класс точности 0,05;                 рег. №85925-22,      ФИФ 85925.22.2Р.01053695;                  поверен </t>
  </si>
  <si>
    <t>действ. до</t>
  </si>
  <si>
    <t xml:space="preserve">зав. № 2787, рег. №39952-08,  ФИФ 39952.08.2Р.00954125; эталон 2-го разряда,    
</t>
  </si>
  <si>
    <t>св-во С-НН/23-10-2025/476101774 от</t>
  </si>
  <si>
    <t xml:space="preserve">дейтв. до </t>
  </si>
  <si>
    <t>4. Мегаомметр цифровой МЦ-10, зав. №172, рег.№46095-11; св-во С-Н/12-01-2026/496210677 от</t>
  </si>
  <si>
    <t xml:space="preserve">6. Измеритель-регистратор автономный EClerk®-M-11-RHTP, рег. №80931-21, зав. №41204,   </t>
  </si>
  <si>
    <t>от 10 до 35</t>
  </si>
  <si>
    <t>Обозначение обмотки</t>
  </si>
  <si>
    <t xml:space="preserve">3. Магазин нагрузок МР 3027, зав. № 295, рег. № 34915-07; св-во С-Н/16-02-2026/506205825 от
</t>
  </si>
  <si>
    <t xml:space="preserve">                           св-во С-Н/13-03-2026/511075752  от </t>
  </si>
  <si>
    <t xml:space="preserve">40 МОм, </t>
  </si>
  <si>
    <t xml:space="preserve">1000 МОм,  </t>
  </si>
  <si>
    <r>
      <t xml:space="preserve">сопротивление изоляции превышает              </t>
    </r>
    <r>
      <rPr>
        <b/>
        <sz val="14"/>
        <color theme="1"/>
        <rFont val="Calibri"/>
        <family val="2"/>
        <charset val="204"/>
        <scheme val="minor"/>
      </rPr>
      <t xml:space="preserve"> </t>
    </r>
    <r>
      <rPr>
        <sz val="14"/>
        <color theme="1"/>
        <rFont val="Calibri"/>
        <family val="2"/>
        <charset val="204"/>
        <scheme val="minor"/>
      </rPr>
      <t xml:space="preserve">                    </t>
    </r>
  </si>
  <si>
    <t>3000 МОм.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</si>
</sst>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5" x14ac:knownFonts="1">
    <font>
      <sz val="11"/>
      <color theme="1"/>
      <name val="Calibri"/>
      <family val="2"/>
      <charset val="204"/>
      <scheme val="minor"/>
    </font>
    <font>
      <b/>
      <i/>
      <vertAlign val="superscript"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  <scheme val="minor"/>
    </font>
    <font>
      <b/>
      <u/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Font="1" applyBorder="1" applyAlignment="1">
      <alignment wrapText="1"/>
    </xf>
    <xf numFmtId="0" fontId="2" fillId="0" borderId="0" xfId="0" applyFont="1" applyAlignment="1">
      <alignment horizontal="right" vertical="top" wrapText="1"/>
    </xf>
    <xf numFmtId="0" fontId="0" fillId="0" borderId="0" xfId="0" applyFont="1" applyBorder="1" applyAlignment="1">
      <alignment horizontal="center" wrapText="1"/>
    </xf>
    <xf numFmtId="0" fontId="2" fillId="0" borderId="0" xfId="0" applyFont="1" applyAlignment="1">
      <alignment horizontal="right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1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14" fontId="2" fillId="0" borderId="12" xfId="0" applyNumberFormat="1" applyFont="1" applyBorder="1" applyAlignment="1">
      <alignment horizontal="center" wrapText="1"/>
    </xf>
    <xf numFmtId="14" fontId="2" fillId="0" borderId="13" xfId="0" applyNumberFormat="1" applyFont="1" applyBorder="1" applyAlignment="1">
      <alignment horizontal="center" wrapText="1"/>
    </xf>
    <xf numFmtId="14" fontId="2" fillId="0" borderId="14" xfId="0" applyNumberFormat="1" applyFont="1" applyBorder="1" applyAlignment="1">
      <alignment horizontal="center" wrapText="1"/>
    </xf>
    <xf numFmtId="0" fontId="5" fillId="0" borderId="17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14" fontId="2" fillId="0" borderId="26" xfId="0" applyNumberFormat="1" applyFont="1" applyBorder="1" applyAlignment="1">
      <alignment horizontal="center" wrapText="1"/>
    </xf>
    <xf numFmtId="14" fontId="2" fillId="0" borderId="27" xfId="0" applyNumberFormat="1" applyFont="1" applyBorder="1" applyAlignment="1">
      <alignment horizontal="center" wrapText="1"/>
    </xf>
    <xf numFmtId="14" fontId="2" fillId="0" borderId="28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2" fillId="0" borderId="17" xfId="0" applyNumberFormat="1" applyFont="1" applyBorder="1" applyAlignment="1">
      <alignment horizontal="center" vertical="top" wrapText="1"/>
    </xf>
    <xf numFmtId="0" fontId="2" fillId="0" borderId="18" xfId="0" applyNumberFormat="1" applyFont="1" applyBorder="1" applyAlignment="1">
      <alignment horizontal="center" vertical="top" wrapText="1"/>
    </xf>
    <xf numFmtId="0" fontId="2" fillId="0" borderId="19" xfId="0" applyNumberFormat="1" applyFont="1" applyBorder="1" applyAlignment="1">
      <alignment horizontal="center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4" fontId="2" fillId="0" borderId="17" xfId="0" applyNumberFormat="1" applyFont="1" applyBorder="1" applyAlignment="1">
      <alignment horizontal="center" vertical="top" wrapText="1"/>
    </xf>
    <xf numFmtId="14" fontId="2" fillId="0" borderId="18" xfId="0" applyNumberFormat="1" applyFont="1" applyBorder="1" applyAlignment="1">
      <alignment horizontal="center" vertical="top" wrapText="1"/>
    </xf>
    <xf numFmtId="14" fontId="2" fillId="0" borderId="19" xfId="0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right" wrapText="1"/>
    </xf>
    <xf numFmtId="14" fontId="3" fillId="0" borderId="5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2" fillId="0" borderId="12" xfId="0" applyNumberFormat="1" applyFont="1" applyBorder="1" applyAlignment="1">
      <alignment horizontal="center" vertical="top" wrapText="1"/>
    </xf>
    <xf numFmtId="0" fontId="2" fillId="0" borderId="13" xfId="0" applyNumberFormat="1" applyFont="1" applyBorder="1" applyAlignment="1">
      <alignment horizontal="center" vertical="top" wrapText="1"/>
    </xf>
    <xf numFmtId="0" fontId="2" fillId="0" borderId="14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center" vertical="top" wrapText="1"/>
    </xf>
    <xf numFmtId="49" fontId="2" fillId="0" borderId="16" xfId="0" applyNumberFormat="1" applyFont="1" applyBorder="1" applyAlignment="1">
      <alignment horizontal="center" vertical="top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center" vertical="top" wrapText="1"/>
    </xf>
    <xf numFmtId="0" fontId="2" fillId="0" borderId="11" xfId="0" applyNumberFormat="1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1</xdr:row>
      <xdr:rowOff>9525</xdr:rowOff>
    </xdr:from>
    <xdr:to>
      <xdr:col>1</xdr:col>
      <xdr:colOff>419101</xdr:colOff>
      <xdr:row>4</xdr:row>
      <xdr:rowOff>123825</xdr:rowOff>
    </xdr:to>
    <xdr:pic>
      <xdr:nvPicPr>
        <xdr:cNvPr id="5" name="Рисунок 26" descr=" 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09576" y="200025"/>
          <a:ext cx="657225" cy="685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773206</xdr:colOff>
      <xdr:row>0</xdr:row>
      <xdr:rowOff>80120</xdr:rowOff>
    </xdr:from>
    <xdr:to>
      <xdr:col>9</xdr:col>
      <xdr:colOff>1023015</xdr:colOff>
      <xdr:row>5</xdr:row>
      <xdr:rowOff>0</xdr:rowOff>
    </xdr:to>
    <xdr:pic>
      <xdr:nvPicPr>
        <xdr:cNvPr id="6" name="Рисунок 25" descr=" 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9256059" y="80120"/>
          <a:ext cx="1235927" cy="8723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3</xdr:col>
      <xdr:colOff>338234</xdr:colOff>
      <xdr:row>64</xdr:row>
      <xdr:rowOff>89647</xdr:rowOff>
    </xdr:from>
    <xdr:to>
      <xdr:col>4</xdr:col>
      <xdr:colOff>750793</xdr:colOff>
      <xdr:row>67</xdr:row>
      <xdr:rowOff>113739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3000" contrast="-2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058" y="16618323"/>
          <a:ext cx="1611588" cy="68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H70"/>
  <sheetViews>
    <sheetView tabSelected="1" showWhiteSpace="0" topLeftCell="A49" zoomScale="85" zoomScaleNormal="85" workbookViewId="0">
      <selection activeCell="A49" sqref="A49:H49"/>
    </sheetView>
  </sheetViews>
  <sheetFormatPr defaultRowHeight="15" x14ac:dyDescent="0.25"/>
  <cols>
    <col min="1" max="1" width="9.7109375" style="8" customWidth="1"/>
    <col min="2" max="2" width="17.140625" style="8" customWidth="1"/>
    <col min="3" max="3" width="19.42578125" style="8" customWidth="1"/>
    <col min="4" max="4" width="18" style="8" customWidth="1"/>
    <col min="5" max="5" width="16" style="8" customWidth="1"/>
    <col min="6" max="6" width="16.140625" style="8" customWidth="1"/>
    <col min="7" max="7" width="16" style="8" customWidth="1"/>
    <col min="8" max="8" width="14.85546875" style="8" customWidth="1"/>
    <col min="9" max="9" width="14.7109375" style="8" customWidth="1"/>
    <col min="10" max="10" width="15.7109375" style="8" customWidth="1"/>
    <col min="11" max="11" width="9.140625" style="8" customWidth="1"/>
    <col min="12" max="12" width="9.140625" style="8" hidden="1" customWidth="1"/>
    <col min="13" max="13" width="11.42578125" style="8" hidden="1" customWidth="1"/>
    <col min="14" max="14" width="13" style="8" hidden="1" customWidth="1"/>
    <col min="15" max="15" width="12.28515625" style="8" hidden="1" customWidth="1"/>
    <col min="16" max="16" width="11.7109375" style="8" hidden="1" customWidth="1"/>
    <col min="17" max="17" width="12.5703125" style="8" hidden="1" customWidth="1"/>
    <col min="18" max="18" width="12.28515625" style="8" hidden="1" customWidth="1"/>
    <col min="19" max="20" width="14" style="8" hidden="1" customWidth="1"/>
    <col min="21" max="21" width="14.28515625" style="8" hidden="1" customWidth="1"/>
    <col min="22" max="22" width="14" style="8" hidden="1" customWidth="1"/>
    <col min="23" max="23" width="11.28515625" style="8" hidden="1" customWidth="1"/>
    <col min="24" max="24" width="12.5703125" style="8" hidden="1" customWidth="1"/>
    <col min="25" max="25" width="11.7109375" style="8" hidden="1" customWidth="1"/>
    <col min="26" max="26" width="9.140625" style="8" hidden="1" customWidth="1"/>
    <col min="27" max="27" width="11.42578125" style="8" hidden="1" customWidth="1"/>
    <col min="28" max="28" width="13.85546875" style="8" hidden="1" customWidth="1"/>
    <col min="29" max="29" width="13.7109375" style="8" hidden="1" customWidth="1"/>
    <col min="30" max="30" width="14.85546875" style="8" hidden="1" customWidth="1"/>
    <col min="31" max="31" width="13.140625" style="8" hidden="1" customWidth="1"/>
    <col min="32" max="32" width="15.7109375" style="8" hidden="1" customWidth="1"/>
    <col min="33" max="34" width="9.140625" style="8" hidden="1" customWidth="1"/>
    <col min="35" max="47" width="9.140625" style="8" customWidth="1"/>
    <col min="48" max="16384" width="9.140625" style="8"/>
  </cols>
  <sheetData>
    <row r="1" spans="1:10" ht="15" customHeight="1" x14ac:dyDescent="0.25">
      <c r="A1" s="1"/>
      <c r="B1" s="1"/>
      <c r="C1" s="43" t="s">
        <v>59</v>
      </c>
      <c r="D1" s="43"/>
      <c r="E1" s="43"/>
      <c r="F1" s="43"/>
      <c r="G1" s="43"/>
      <c r="H1" s="43"/>
      <c r="I1" s="18"/>
      <c r="J1" s="18"/>
    </row>
    <row r="2" spans="1:10" ht="15" customHeight="1" x14ac:dyDescent="0.25">
      <c r="A2" s="1"/>
      <c r="B2" s="1"/>
      <c r="C2" s="43"/>
      <c r="D2" s="43"/>
      <c r="E2" s="43"/>
      <c r="F2" s="43"/>
      <c r="G2" s="43"/>
      <c r="H2" s="43"/>
      <c r="I2" s="18"/>
      <c r="J2" s="18"/>
    </row>
    <row r="3" spans="1:10" ht="15" customHeight="1" x14ac:dyDescent="0.25">
      <c r="A3" s="1"/>
      <c r="B3" s="1"/>
      <c r="C3" s="43"/>
      <c r="D3" s="43"/>
      <c r="E3" s="43"/>
      <c r="F3" s="43"/>
      <c r="G3" s="43"/>
      <c r="H3" s="43"/>
      <c r="I3" s="18"/>
      <c r="J3" s="18"/>
    </row>
    <row r="4" spans="1:10" ht="15" customHeight="1" x14ac:dyDescent="0.25">
      <c r="A4" s="1"/>
      <c r="B4" s="1"/>
      <c r="C4" s="43"/>
      <c r="D4" s="43"/>
      <c r="E4" s="43"/>
      <c r="F4" s="43"/>
      <c r="G4" s="43"/>
      <c r="H4" s="43"/>
      <c r="I4" s="18"/>
      <c r="J4" s="18"/>
    </row>
    <row r="5" spans="1:10" ht="15" customHeight="1" x14ac:dyDescent="0.25">
      <c r="A5" s="1"/>
      <c r="B5" s="1"/>
      <c r="C5" s="43"/>
      <c r="D5" s="43"/>
      <c r="E5" s="43"/>
      <c r="F5" s="43"/>
      <c r="G5" s="43"/>
      <c r="H5" s="43"/>
      <c r="I5" s="18"/>
      <c r="J5" s="18"/>
    </row>
    <row r="6" spans="1:10" x14ac:dyDescent="0.25">
      <c r="C6" s="43"/>
      <c r="D6" s="43"/>
      <c r="E6" s="43"/>
      <c r="F6" s="43"/>
      <c r="G6" s="43"/>
      <c r="H6" s="43"/>
    </row>
    <row r="7" spans="1:10" s="5" customFormat="1" ht="21" x14ac:dyDescent="0.35">
      <c r="A7" s="68" t="s">
        <v>0</v>
      </c>
      <c r="B7" s="68"/>
      <c r="C7" s="68"/>
      <c r="D7" s="36"/>
      <c r="E7" s="4" t="s">
        <v>18</v>
      </c>
      <c r="F7" s="69"/>
      <c r="G7" s="69"/>
    </row>
    <row r="8" spans="1:10" ht="16.5" thickBot="1" x14ac:dyDescent="0.3">
      <c r="A8" s="2"/>
      <c r="B8" s="2"/>
      <c r="C8" s="2"/>
      <c r="D8" s="2"/>
      <c r="E8" s="2"/>
      <c r="F8" s="2"/>
      <c r="G8" s="2"/>
      <c r="H8" s="2"/>
    </row>
    <row r="9" spans="1:10" ht="19.5" customHeight="1" thickBot="1" x14ac:dyDescent="0.35">
      <c r="A9" s="44" t="s">
        <v>1</v>
      </c>
      <c r="B9" s="45"/>
      <c r="C9" s="45"/>
      <c r="D9" s="46"/>
      <c r="E9" s="47" t="s">
        <v>29</v>
      </c>
      <c r="F9" s="48"/>
      <c r="G9" s="48"/>
      <c r="H9" s="48"/>
      <c r="I9" s="48"/>
      <c r="J9" s="49"/>
    </row>
    <row r="10" spans="1:10" ht="20.25" customHeight="1" thickBot="1" x14ac:dyDescent="0.35">
      <c r="A10" s="50" t="s">
        <v>2</v>
      </c>
      <c r="B10" s="51"/>
      <c r="C10" s="51"/>
      <c r="D10" s="52"/>
      <c r="E10" s="53"/>
      <c r="F10" s="54"/>
      <c r="G10" s="54"/>
      <c r="H10" s="54"/>
      <c r="I10" s="54"/>
      <c r="J10" s="55"/>
    </row>
    <row r="11" spans="1:10" ht="18.75" customHeight="1" thickBot="1" x14ac:dyDescent="0.3">
      <c r="A11" s="62" t="s">
        <v>3</v>
      </c>
      <c r="B11" s="63"/>
      <c r="C11" s="64"/>
      <c r="D11" s="65"/>
      <c r="E11" s="66"/>
      <c r="F11" s="66"/>
      <c r="G11" s="66"/>
      <c r="H11" s="66"/>
      <c r="I11" s="66"/>
      <c r="J11" s="67"/>
    </row>
    <row r="12" spans="1:10" ht="18.75" customHeight="1" thickBot="1" x14ac:dyDescent="0.3">
      <c r="A12" s="56" t="s">
        <v>4</v>
      </c>
      <c r="B12" s="57"/>
      <c r="C12" s="58"/>
      <c r="D12" s="59"/>
      <c r="E12" s="60"/>
      <c r="F12" s="60"/>
      <c r="G12" s="60"/>
      <c r="H12" s="60"/>
      <c r="I12" s="60"/>
      <c r="J12" s="61"/>
    </row>
    <row r="13" spans="1:10" ht="18.75" customHeight="1" thickBot="1" x14ac:dyDescent="0.3">
      <c r="A13" s="112" t="s">
        <v>65</v>
      </c>
      <c r="B13" s="113"/>
      <c r="C13" s="113"/>
      <c r="D13" s="114"/>
      <c r="E13" s="107" t="s">
        <v>66</v>
      </c>
      <c r="F13" s="108"/>
      <c r="G13" s="108"/>
      <c r="H13" s="108"/>
      <c r="I13" s="108"/>
      <c r="J13" s="109"/>
    </row>
    <row r="14" spans="1:10" ht="18.75" customHeight="1" thickBot="1" x14ac:dyDescent="0.35">
      <c r="A14" s="115"/>
      <c r="B14" s="116"/>
      <c r="C14" s="116"/>
      <c r="D14" s="117"/>
      <c r="E14" s="110" t="s">
        <v>42</v>
      </c>
      <c r="F14" s="111"/>
      <c r="G14" s="110" t="s">
        <v>43</v>
      </c>
      <c r="H14" s="111"/>
      <c r="I14" s="110" t="s">
        <v>44</v>
      </c>
      <c r="J14" s="111"/>
    </row>
    <row r="15" spans="1:10" ht="18.75" customHeight="1" thickBot="1" x14ac:dyDescent="0.3">
      <c r="A15" s="127" t="s">
        <v>49</v>
      </c>
      <c r="B15" s="128"/>
      <c r="C15" s="128"/>
      <c r="D15" s="129"/>
      <c r="E15" s="130"/>
      <c r="F15" s="131"/>
      <c r="G15" s="130"/>
      <c r="H15" s="131"/>
      <c r="I15" s="130"/>
      <c r="J15" s="131"/>
    </row>
    <row r="16" spans="1:10" ht="21.75" customHeight="1" thickBot="1" x14ac:dyDescent="0.3">
      <c r="A16" s="127" t="s">
        <v>67</v>
      </c>
      <c r="B16" s="128"/>
      <c r="C16" s="128"/>
      <c r="D16" s="129"/>
      <c r="E16" s="120"/>
      <c r="F16" s="121"/>
      <c r="G16" s="120"/>
      <c r="H16" s="121"/>
      <c r="I16" s="120"/>
      <c r="J16" s="121"/>
    </row>
    <row r="17" spans="1:17" ht="19.5" customHeight="1" thickBot="1" x14ac:dyDescent="0.3">
      <c r="A17" s="127" t="s">
        <v>68</v>
      </c>
      <c r="B17" s="128"/>
      <c r="C17" s="128"/>
      <c r="D17" s="129"/>
      <c r="E17" s="120"/>
      <c r="F17" s="121"/>
      <c r="G17" s="120"/>
      <c r="H17" s="121"/>
      <c r="I17" s="120"/>
      <c r="J17" s="121"/>
    </row>
    <row r="18" spans="1:17" ht="20.25" customHeight="1" thickBot="1" x14ac:dyDescent="0.3">
      <c r="A18" s="62" t="s">
        <v>8</v>
      </c>
      <c r="B18" s="63"/>
      <c r="C18" s="63"/>
      <c r="D18" s="64"/>
      <c r="E18" s="118"/>
      <c r="F18" s="119"/>
      <c r="G18" s="118"/>
      <c r="H18" s="119"/>
      <c r="I18" s="118"/>
      <c r="J18" s="119"/>
    </row>
    <row r="19" spans="1:17" ht="22.5" customHeight="1" thickBot="1" x14ac:dyDescent="0.3">
      <c r="A19" s="62" t="s">
        <v>9</v>
      </c>
      <c r="B19" s="63"/>
      <c r="C19" s="63"/>
      <c r="D19" s="63"/>
      <c r="E19" s="132" t="s">
        <v>58</v>
      </c>
      <c r="F19" s="133"/>
      <c r="G19" s="133"/>
      <c r="H19" s="133"/>
      <c r="I19" s="133"/>
      <c r="J19" s="134"/>
    </row>
    <row r="20" spans="1:17" ht="15.75" customHeight="1" thickBot="1" x14ac:dyDescent="0.3">
      <c r="A20" s="124" t="s">
        <v>6</v>
      </c>
      <c r="B20" s="125"/>
      <c r="C20" s="125"/>
      <c r="D20" s="125"/>
      <c r="E20" s="126"/>
      <c r="F20" s="122" t="s">
        <v>7</v>
      </c>
      <c r="G20" s="122"/>
      <c r="H20" s="122"/>
      <c r="I20" s="122"/>
      <c r="J20" s="123"/>
    </row>
    <row r="21" spans="1:17" ht="16.5" customHeight="1" thickBot="1" x14ac:dyDescent="0.3">
      <c r="A21" s="101" t="s">
        <v>5</v>
      </c>
      <c r="B21" s="102"/>
      <c r="C21" s="102"/>
      <c r="D21" s="102"/>
      <c r="E21" s="103"/>
      <c r="F21" s="98" t="s">
        <v>5</v>
      </c>
      <c r="G21" s="99"/>
      <c r="H21" s="99"/>
      <c r="I21" s="99"/>
      <c r="J21" s="100"/>
    </row>
    <row r="22" spans="1:17" ht="12" customHeight="1" x14ac:dyDescent="0.25">
      <c r="A22" s="135"/>
      <c r="B22" s="135"/>
      <c r="C22" s="135"/>
      <c r="D22" s="2"/>
      <c r="E22" s="2"/>
      <c r="F22" s="2"/>
      <c r="G22" s="2"/>
      <c r="H22" s="2"/>
    </row>
    <row r="23" spans="1:17" ht="18.75" customHeight="1" x14ac:dyDescent="0.25">
      <c r="A23" s="95" t="s">
        <v>10</v>
      </c>
      <c r="B23" s="95"/>
      <c r="C23" s="95"/>
      <c r="D23" s="95"/>
      <c r="E23" s="95" t="s">
        <v>11</v>
      </c>
      <c r="F23" s="95"/>
      <c r="G23" s="95" t="s">
        <v>12</v>
      </c>
      <c r="H23" s="95"/>
      <c r="I23" s="95" t="s">
        <v>13</v>
      </c>
      <c r="J23" s="95"/>
    </row>
    <row r="24" spans="1:17" ht="17.100000000000001" customHeight="1" x14ac:dyDescent="0.3">
      <c r="A24" s="80" t="s">
        <v>14</v>
      </c>
      <c r="B24" s="80"/>
      <c r="C24" s="80"/>
      <c r="D24" s="80"/>
      <c r="E24" s="80" t="s">
        <v>78</v>
      </c>
      <c r="F24" s="80"/>
      <c r="G24" s="93"/>
      <c r="H24" s="94"/>
      <c r="I24" s="72" t="s">
        <v>28</v>
      </c>
      <c r="J24" s="72"/>
    </row>
    <row r="25" spans="1:17" ht="17.100000000000001" customHeight="1" x14ac:dyDescent="0.3">
      <c r="A25" s="80" t="s">
        <v>16</v>
      </c>
      <c r="B25" s="80"/>
      <c r="C25" s="80"/>
      <c r="D25" s="80"/>
      <c r="E25" s="80" t="s">
        <v>17</v>
      </c>
      <c r="F25" s="80"/>
      <c r="G25" s="93"/>
      <c r="H25" s="94"/>
      <c r="I25" s="72" t="s">
        <v>27</v>
      </c>
      <c r="J25" s="72"/>
    </row>
    <row r="26" spans="1:17" ht="17.100000000000001" customHeight="1" x14ac:dyDescent="0.3">
      <c r="A26" s="96" t="s">
        <v>15</v>
      </c>
      <c r="B26" s="97"/>
      <c r="C26" s="97"/>
      <c r="D26" s="84"/>
      <c r="E26" s="80" t="s">
        <v>25</v>
      </c>
      <c r="F26" s="80"/>
      <c r="G26" s="93"/>
      <c r="H26" s="94"/>
      <c r="I26" s="72" t="s">
        <v>26</v>
      </c>
      <c r="J26" s="72"/>
      <c r="K26" s="17"/>
      <c r="L26" s="6"/>
      <c r="M26" s="6"/>
      <c r="N26" s="6"/>
      <c r="O26" s="6"/>
      <c r="P26" s="6"/>
      <c r="Q26" s="12"/>
    </row>
    <row r="27" spans="1:17" s="2" customFormat="1" ht="15.75" x14ac:dyDescent="0.25">
      <c r="A27" s="73" t="s">
        <v>19</v>
      </c>
      <c r="B27" s="73"/>
      <c r="C27" s="10"/>
    </row>
    <row r="28" spans="1:17" s="2" customFormat="1" ht="20.25" customHeight="1" x14ac:dyDescent="0.25">
      <c r="A28" s="75" t="s">
        <v>64</v>
      </c>
      <c r="B28" s="75"/>
      <c r="C28" s="75"/>
      <c r="D28" s="75"/>
      <c r="E28" s="75"/>
      <c r="F28" s="75"/>
      <c r="G28" s="75"/>
      <c r="H28" s="75"/>
      <c r="I28" s="75"/>
      <c r="J28" s="75"/>
    </row>
    <row r="29" spans="1:17" s="2" customFormat="1" ht="18" customHeight="1" x14ac:dyDescent="0.3">
      <c r="A29" s="104" t="s">
        <v>71</v>
      </c>
      <c r="B29" s="104"/>
      <c r="C29" s="104"/>
      <c r="D29" s="104"/>
      <c r="E29" s="104"/>
      <c r="F29" s="104"/>
      <c r="G29" s="104"/>
      <c r="H29" s="35">
        <v>45344</v>
      </c>
      <c r="I29" s="33" t="s">
        <v>70</v>
      </c>
      <c r="J29" s="35">
        <v>46804</v>
      </c>
    </row>
    <row r="30" spans="1:17" s="2" customFormat="1" ht="20.25" customHeight="1" x14ac:dyDescent="0.25">
      <c r="A30" s="75" t="s">
        <v>63</v>
      </c>
      <c r="B30" s="75"/>
      <c r="C30" s="75"/>
      <c r="D30" s="75"/>
      <c r="E30" s="75"/>
      <c r="F30" s="75"/>
      <c r="G30" s="75"/>
      <c r="H30" s="75"/>
      <c r="I30" s="75"/>
      <c r="J30" s="75"/>
    </row>
    <row r="31" spans="1:17" s="2" customFormat="1" ht="19.5" customHeight="1" x14ac:dyDescent="0.25">
      <c r="A31" s="82" t="s">
        <v>73</v>
      </c>
      <c r="B31" s="82"/>
      <c r="C31" s="82"/>
      <c r="D31" s="82"/>
      <c r="E31" s="82"/>
      <c r="F31" s="82"/>
      <c r="G31" s="82"/>
      <c r="H31" s="31"/>
      <c r="J31" s="29"/>
    </row>
    <row r="32" spans="1:17" s="2" customFormat="1" ht="19.5" customHeight="1" x14ac:dyDescent="0.3">
      <c r="A32" s="105" t="s">
        <v>74</v>
      </c>
      <c r="B32" s="105"/>
      <c r="C32" s="105"/>
      <c r="D32" s="105"/>
      <c r="E32" s="105"/>
      <c r="F32" s="105"/>
      <c r="G32" s="105"/>
      <c r="H32" s="35">
        <v>45953</v>
      </c>
      <c r="I32" s="33" t="s">
        <v>72</v>
      </c>
      <c r="J32" s="35">
        <v>46682</v>
      </c>
    </row>
    <row r="33" spans="1:21" s="2" customFormat="1" ht="18.75" customHeight="1" x14ac:dyDescent="0.3">
      <c r="A33" s="82" t="s">
        <v>80</v>
      </c>
      <c r="B33" s="82"/>
      <c r="C33" s="82"/>
      <c r="D33" s="82"/>
      <c r="E33" s="82"/>
      <c r="F33" s="82"/>
      <c r="G33" s="82"/>
      <c r="H33" s="35">
        <v>46069</v>
      </c>
      <c r="I33" s="34" t="s">
        <v>70</v>
      </c>
      <c r="J33" s="35">
        <v>46433</v>
      </c>
    </row>
    <row r="34" spans="1:21" s="3" customFormat="1" ht="17.25" customHeight="1" x14ac:dyDescent="0.3">
      <c r="A34" s="104" t="s">
        <v>76</v>
      </c>
      <c r="B34" s="104"/>
      <c r="C34" s="104"/>
      <c r="D34" s="104"/>
      <c r="E34" s="104"/>
      <c r="F34" s="104"/>
      <c r="G34" s="104"/>
      <c r="H34" s="35">
        <v>46034</v>
      </c>
      <c r="I34" s="33" t="s">
        <v>72</v>
      </c>
      <c r="J34" s="35">
        <v>46398</v>
      </c>
    </row>
    <row r="35" spans="1:21" s="3" customFormat="1" ht="18.75" x14ac:dyDescent="0.3">
      <c r="A35" s="82" t="s">
        <v>77</v>
      </c>
      <c r="B35" s="82"/>
      <c r="C35" s="82"/>
      <c r="D35" s="82"/>
      <c r="E35" s="82"/>
      <c r="F35" s="82"/>
      <c r="G35" s="82"/>
      <c r="H35" s="82"/>
    </row>
    <row r="36" spans="1:21" s="3" customFormat="1" ht="18.75" customHeight="1" x14ac:dyDescent="0.3">
      <c r="A36" s="106" t="s">
        <v>81</v>
      </c>
      <c r="B36" s="106"/>
      <c r="C36" s="106"/>
      <c r="D36" s="106"/>
      <c r="E36" s="106"/>
      <c r="F36" s="106"/>
      <c r="G36" s="106"/>
      <c r="H36" s="35">
        <v>46094</v>
      </c>
      <c r="I36" s="32" t="s">
        <v>75</v>
      </c>
      <c r="J36" s="35">
        <v>46458</v>
      </c>
    </row>
    <row r="37" spans="1:21" s="3" customFormat="1" ht="18.75" customHeight="1" x14ac:dyDescent="0.3">
      <c r="A37" s="4"/>
      <c r="B37" s="4"/>
      <c r="C37" s="4"/>
      <c r="D37" s="4"/>
      <c r="E37" s="4"/>
      <c r="F37" s="4"/>
      <c r="G37" s="4"/>
      <c r="H37" s="35"/>
      <c r="I37" s="32"/>
      <c r="J37" s="35"/>
    </row>
    <row r="38" spans="1:21" ht="18" customHeight="1" x14ac:dyDescent="0.3">
      <c r="A38" s="74" t="s">
        <v>20</v>
      </c>
      <c r="B38" s="74"/>
      <c r="C38" s="74"/>
      <c r="D38" s="74"/>
      <c r="E38" s="74"/>
      <c r="F38" s="74"/>
      <c r="G38" s="74"/>
      <c r="H38" s="74"/>
      <c r="I38" s="3"/>
      <c r="J38" s="35"/>
      <c r="L38" s="8">
        <v>0.5</v>
      </c>
      <c r="M38" s="28" t="s">
        <v>51</v>
      </c>
    </row>
    <row r="39" spans="1:21" ht="15" customHeight="1" x14ac:dyDescent="0.3">
      <c r="A39" s="71" t="s">
        <v>21</v>
      </c>
      <c r="B39" s="71"/>
      <c r="C39" s="71"/>
      <c r="D39" s="71"/>
      <c r="E39" s="71"/>
      <c r="F39" s="71"/>
      <c r="G39" s="71"/>
      <c r="H39" s="71"/>
      <c r="I39" s="3"/>
      <c r="J39" s="3"/>
      <c r="L39" s="8" t="s">
        <v>50</v>
      </c>
      <c r="M39" s="8" t="s">
        <v>5</v>
      </c>
    </row>
    <row r="40" spans="1:21" ht="15" customHeight="1" x14ac:dyDescent="0.3">
      <c r="A40" s="13" t="s">
        <v>5</v>
      </c>
      <c r="B40" s="71" t="s">
        <v>31</v>
      </c>
      <c r="C40" s="71"/>
      <c r="D40" s="71"/>
      <c r="E40" s="71"/>
      <c r="F40" s="71"/>
      <c r="G40" s="71"/>
      <c r="H40" s="71"/>
      <c r="I40" s="71"/>
      <c r="J40" s="71"/>
      <c r="L40" s="8">
        <v>0.2</v>
      </c>
    </row>
    <row r="41" spans="1:21" ht="18" customHeight="1" x14ac:dyDescent="0.3">
      <c r="A41" s="13" t="s">
        <v>5</v>
      </c>
      <c r="B41" s="82" t="s">
        <v>30</v>
      </c>
      <c r="C41" s="82"/>
      <c r="D41" s="82"/>
      <c r="E41" s="82"/>
      <c r="F41" s="82"/>
      <c r="G41" s="82"/>
      <c r="H41" s="82"/>
      <c r="I41" s="3"/>
      <c r="J41" s="3"/>
      <c r="L41" s="8" t="s">
        <v>24</v>
      </c>
    </row>
    <row r="42" spans="1:21" ht="36" customHeight="1" x14ac:dyDescent="0.25">
      <c r="A42" s="6"/>
      <c r="B42" s="16" t="s">
        <v>32</v>
      </c>
      <c r="C42" s="16" t="s">
        <v>79</v>
      </c>
      <c r="D42" s="72" t="s">
        <v>33</v>
      </c>
      <c r="E42" s="72"/>
      <c r="F42" s="72" t="s">
        <v>34</v>
      </c>
      <c r="G42" s="72"/>
      <c r="H42" s="72" t="s">
        <v>56</v>
      </c>
      <c r="I42" s="72"/>
      <c r="J42" s="72"/>
    </row>
    <row r="43" spans="1:21" ht="18.75" x14ac:dyDescent="0.25">
      <c r="A43" s="14"/>
      <c r="B43" s="16"/>
      <c r="C43" s="16" t="s">
        <v>53</v>
      </c>
      <c r="D43" s="72"/>
      <c r="E43" s="72"/>
      <c r="F43" s="72"/>
      <c r="G43" s="72"/>
      <c r="H43" s="72"/>
      <c r="I43" s="72"/>
      <c r="J43" s="72"/>
    </row>
    <row r="44" spans="1:21" ht="18.75" customHeight="1" x14ac:dyDescent="0.25">
      <c r="A44" s="14"/>
      <c r="B44" s="16"/>
      <c r="C44" s="30" t="s">
        <v>54</v>
      </c>
      <c r="D44" s="72"/>
      <c r="E44" s="72"/>
      <c r="F44" s="72"/>
      <c r="G44" s="72"/>
      <c r="H44" s="72"/>
      <c r="I44" s="72"/>
      <c r="J44" s="72"/>
      <c r="N44" s="42" t="s">
        <v>60</v>
      </c>
      <c r="O44" s="42"/>
      <c r="P44" s="42" t="s">
        <v>61</v>
      </c>
      <c r="Q44" s="42"/>
      <c r="R44" s="42" t="s">
        <v>60</v>
      </c>
      <c r="S44" s="42"/>
      <c r="T44" s="42" t="s">
        <v>61</v>
      </c>
      <c r="U44" s="42"/>
    </row>
    <row r="45" spans="1:21" ht="9" customHeight="1" x14ac:dyDescent="0.3">
      <c r="A45" s="15"/>
      <c r="B45" s="136" t="s">
        <v>62</v>
      </c>
      <c r="C45" s="136"/>
      <c r="D45" s="136"/>
      <c r="E45" s="136"/>
      <c r="F45" s="136"/>
      <c r="G45" s="136"/>
      <c r="H45" s="136"/>
      <c r="I45" s="3"/>
      <c r="J45" s="3"/>
      <c r="N45" s="25" t="str">
        <f>IF($B$43="0,5s",-1.5,IF($B$43=0.5,"-",IF($B$43="0,2s",-0.75,IF($B$43=0.2,"-","Ошибка"))))</f>
        <v>Ошибка</v>
      </c>
      <c r="O45" s="25" t="str">
        <f>IF($B$43="0,5s",1.5,IF($B$43=0.5,"-",IF($B$43="0,2s",0.75,IF($B$43=0.2,"-","Ошибка"))))</f>
        <v>Ошибка</v>
      </c>
      <c r="P45" s="25" t="str">
        <f>IF($B$43="0,5s",-90,IF($B$43=0.5,"-",IF($B$43="0,2s",-30,IF($B$43=0.2,"-","Ошибка"))))</f>
        <v>Ошибка</v>
      </c>
      <c r="Q45" s="25" t="str">
        <f>IF($B$43="0,5s",90,IF($B$43=0.5,"-",IF($B$43="0,2s",30,IF($B$43=0.2,"-","Ошибка"))))</f>
        <v>Ошибка</v>
      </c>
      <c r="R45" s="25" t="str">
        <f>IF(G18="-","-",IF($B$43="0,5s",-1.5,IF($B$43=0.5,"-",IF($B$43="0,2s",-0.75,IF($B$43=0.2,"-","Ошибка")))))</f>
        <v>Ошибка</v>
      </c>
      <c r="S45" s="25" t="str">
        <f>IF(G18="-","-",IF($B$43="0,5s",1.5,IF($B$43=0.5,"-",IF($B$43="0,2s",0.75,IF($B$43=0.2,"-","Ошибка")))))</f>
        <v>Ошибка</v>
      </c>
      <c r="T45" s="25" t="str">
        <f>IF(G18="-","-",IF($B$43="0,5s",-90,IF($B$43=0.5,"-",IF($B$43="0,2s",-30,IF($B$43=0.2,"-","Ошибка")))))</f>
        <v>Ошибка</v>
      </c>
      <c r="U45" s="25" t="str">
        <f>IF(G18="-","-",IF($B$43="0,5s",90,IF($B$43=0.5,"-",IF($B$43="0,2s",30,IF($B$43=0.2,"-","Ошибка")))))</f>
        <v>Ошибка</v>
      </c>
    </row>
    <row r="46" spans="1:21" ht="18.75" x14ac:dyDescent="0.3">
      <c r="A46" s="71" t="s">
        <v>35</v>
      </c>
      <c r="B46" s="71"/>
      <c r="C46" s="71"/>
      <c r="D46" s="71"/>
      <c r="E46" s="71"/>
      <c r="F46" s="71"/>
      <c r="G46" s="71"/>
      <c r="H46" s="71"/>
      <c r="I46" s="3"/>
      <c r="J46" s="3"/>
      <c r="N46" s="25" t="str">
        <f>IF($B$43="0,5s",-0.75,IF($B$43=0.5,-1.5,IF($B$43="0,2s",-0.35,IF($B$43=0.2,-0.75,"Ошибка"))))</f>
        <v>Ошибка</v>
      </c>
      <c r="O46" s="25" t="str">
        <f>IF($B$43="0,5s",0.75,IF($B$43=0.5,1.5,IF($B$43="0,2s",0.35,IF($B$43=0.2,0.75,"Ошибка"))))</f>
        <v>Ошибка</v>
      </c>
      <c r="P46" s="25" t="str">
        <f>IF($B$43="0,5s",-45,IF($B$43=0.5,-90,IF($B$43="0,2s",-15,IF($B$43=0.2,-30,"Ошибка"))))</f>
        <v>Ошибка</v>
      </c>
      <c r="Q46" s="25" t="str">
        <f>IF($B$43="0,5s",45,IF($B$43=0.5,90,IF($B$43="0,2s",15,IF($B$43=0.2,30,"Ошибка"))))</f>
        <v>Ошибка</v>
      </c>
      <c r="R46" s="25" t="str">
        <f>IF(G18="-","-",IF($B$43="0,5s",-0.75,IF($B$43=0.5,-1.5,IF($B$43="0,2s",-0.35,IF($B$43=0.2,-0.75,"Ошибка")))))</f>
        <v>Ошибка</v>
      </c>
      <c r="S46" s="25" t="str">
        <f>IF(G18="-","-",IF($B$43="0,5s",0.75,IF($B$43=0.5,1.5,IF($B$43="0,2s",0.35,IF($B$43=0.2,0.75,"Ошибка")))))</f>
        <v>Ошибка</v>
      </c>
      <c r="T46" s="25" t="str">
        <f>IF(G18="-","-",IF($B$43="0,5s",-45,IF($B$43=0.5,-90,IF($B$43="0,2s",-15,IF($B$43=0.2,-30,"Ошибка")))))</f>
        <v>Ошибка</v>
      </c>
      <c r="U46" s="25" t="str">
        <f>IF(G18="-","-",IF($B$43="0,5s",45,IF($B$43=0.5,90,IF($B$43="0,2s",15,IF($B$43=0.2,30,"Ошибка")))))</f>
        <v>Ошибка</v>
      </c>
    </row>
    <row r="47" spans="1:21" ht="18.75" customHeight="1" x14ac:dyDescent="0.3">
      <c r="A47" s="13" t="s">
        <v>5</v>
      </c>
      <c r="B47" s="82" t="s">
        <v>84</v>
      </c>
      <c r="C47" s="82"/>
      <c r="D47" s="82"/>
      <c r="E47" s="38" t="s">
        <v>82</v>
      </c>
      <c r="F47" s="40" t="s">
        <v>83</v>
      </c>
      <c r="G47" s="37" t="s">
        <v>85</v>
      </c>
      <c r="H47" s="37"/>
      <c r="I47" s="3"/>
      <c r="J47" s="3"/>
      <c r="N47" s="25" t="str">
        <f>IF($B$43="0,5s",-0.5,IF($B$43=0.5,-0.75,IF($B$43="0,2s",-0.2,IF($B$43=0.2,-0.35,"Ошибка"))))</f>
        <v>Ошибка</v>
      </c>
      <c r="O47" s="25" t="str">
        <f>IF($B$43="0,5s",0.5,IF($B$43=0.5,0.75,IF($B$43="0,2s",0.2,IF($B$43=0.2,0.35,"Ошибка"))))</f>
        <v>Ошибка</v>
      </c>
      <c r="P47" s="25" t="str">
        <f>IF($B$43="0,5s",-30,IF($B$43=0.5,-45,IF($B$43="0,2s",-10,IF($B$43=0.2,-15,"Ошибка"))))</f>
        <v>Ошибка</v>
      </c>
      <c r="Q47" s="25" t="str">
        <f>IF($B$43="0,5s",30,IF($B$43=0.5,45,IF($B$43="0,2s",10,IF($B$43=0.2,15,"Ошибка"))))</f>
        <v>Ошибка</v>
      </c>
      <c r="R47" s="25" t="str">
        <f>IF(G18="-","-",IF($B$43="0,5s",-0.5,IF($B$43=0.5,-0.75,IF($B$43="0,2s",-0.2,IF($B$43=0.2,-0.35,"Ошибка")))))</f>
        <v>Ошибка</v>
      </c>
      <c r="S47" s="25" t="str">
        <f>IF(G18="-","-",IF($B$43="0,5s",0.5,IF($B$43=0.5,0.75,IF($B$43="0,2s",0.2,IF($B$43=0.2,0.35,"Ошибка")))))</f>
        <v>Ошибка</v>
      </c>
      <c r="T47" s="25" t="str">
        <f>IF(G18="-","-",IF($B$43="0,5s",-30,IF($B$43=0.5,-45,IF($B$43="0,2s",-10,IF($B$43=0.2,-15,"Ошибка")))))</f>
        <v>Ошибка</v>
      </c>
      <c r="U47" s="25" t="str">
        <f>IF(G18="-","-",IF($B$43="0,5s",30,IF($B$43=0.5,45,IF($B$43="0,2s",10,IF($B$43=0.2,15,"Ошибка")))))</f>
        <v>Ошибка</v>
      </c>
    </row>
    <row r="48" spans="1:21" ht="18.75" customHeight="1" x14ac:dyDescent="0.3">
      <c r="A48" s="13"/>
      <c r="B48" s="82" t="s">
        <v>36</v>
      </c>
      <c r="C48" s="82"/>
      <c r="D48" s="82"/>
      <c r="E48" s="82"/>
      <c r="F48" s="82"/>
      <c r="G48" s="82"/>
      <c r="H48" s="82"/>
      <c r="I48" s="3"/>
      <c r="J48" s="3"/>
      <c r="N48" s="25" t="str">
        <f>IF($B$43="0,5s",-0.5,IF($B$43=0.5,-0.5,IF($B$43="0,2s",-0.2,IF($B$43=0.2,-0.2,"Ошибка"))))</f>
        <v>Ошибка</v>
      </c>
      <c r="O48" s="25" t="str">
        <f>IF($B$43="0,5s",0.5,IF($B$43=0.5,0.5,IF($B$43="0,2s",0.2,IF($B$43=0.2,0.2,"Ошибка"))))</f>
        <v>Ошибка</v>
      </c>
      <c r="P48" s="25" t="str">
        <f>IF($B$43="0,5s",-30,IF($B$43=0.5,-30,IF($B$43="0,2s",-10,IF($B$43=0.2,-10,"Ошибка"))))</f>
        <v>Ошибка</v>
      </c>
      <c r="Q48" s="25" t="str">
        <f>IF($B$43="0,5s",30,IF($B$43=0.5,30,IF($B$43="0,2s",10,IF($B$43=0.2,10,"Ошибка"))))</f>
        <v>Ошибка</v>
      </c>
      <c r="R48" s="25" t="str">
        <f>IF(G18="-","-",IF($B$43="0,5s",-0.5,IF($B$43=0.5,-0.5,IF($B$43="0,2s",-0.2,IF($B$43=0.2,-0.2,"Ошибка")))))</f>
        <v>Ошибка</v>
      </c>
      <c r="S48" s="25" t="str">
        <f>IF(G18="-","-",IF($B$43="0,5s",0.5,IF($B$43=0.5,0.5,IF($B$43="0,2s",0.2,IF($B$43=0.2,0.2,"Ошибка")))))</f>
        <v>Ошибка</v>
      </c>
      <c r="T48" s="25" t="str">
        <f>IF(G18="-","-",IF($B$43="0,5s",-30,IF($B$43=0.5,-30,IF($B$43="0,2s",-10,IF($B$43=0.2,-10,"Ошибка")))))</f>
        <v>Ошибка</v>
      </c>
      <c r="U48" s="25" t="str">
        <f>IF(G18="-","-",IF($B$43="0,5s",30,IF($B$43=0.5,30,IF($B$43="0,2s",10,IF($B$43=0.2,10,"Ошибка")))))</f>
        <v>Ошибка</v>
      </c>
    </row>
    <row r="49" spans="1:32" ht="18.75" x14ac:dyDescent="0.3">
      <c r="A49" s="71" t="s">
        <v>46</v>
      </c>
      <c r="B49" s="71"/>
      <c r="C49" s="71"/>
      <c r="D49" s="71"/>
      <c r="E49" s="71"/>
      <c r="F49" s="71"/>
      <c r="G49" s="71"/>
      <c r="H49" s="71"/>
      <c r="I49" s="3"/>
      <c r="J49" s="3"/>
      <c r="N49" s="25" t="str">
        <f>IF($B$43="0,5s",-0.5,IF($B$43=0.5,-0.5,IF($B$43="0,2s",-0.2,IF($B$43=0.2,-0.2,"Ошибка"))))</f>
        <v>Ошибка</v>
      </c>
      <c r="O49" s="25" t="str">
        <f>IF($B$43="0,5s",0.5,IF($B$43=0.5,0.5,IF($B$43="0,2s",0.2,IF($B$43=0.2,0.2,"Ошибка"))))</f>
        <v>Ошибка</v>
      </c>
      <c r="P49" s="25" t="str">
        <f>IF($B$43="0,5s",-30,IF($B$43=0.5,-30,IF($B$43="0,2s",-10,IF($B$43=0.2,-10,"Ошибка"))))</f>
        <v>Ошибка</v>
      </c>
      <c r="Q49" s="25" t="str">
        <f>IF($B$43="0,5s",30,IF($B$43=0.5,30,IF($B$43="0,2s",10,IF($B$43=0.2,10,"Ошибка"))))</f>
        <v>Ошибка</v>
      </c>
      <c r="R49" s="25" t="str">
        <f>IF(G18="-","-",IF($B$43="0,5s",-0.5,IF($B$43=0.5,-0.5,IF($B$43="0,2s",-0.2,IF($B$43=0.2,-0.2,"Ошибка")))))</f>
        <v>Ошибка</v>
      </c>
      <c r="S49" s="25" t="str">
        <f>IF(G18="-","-",IF($B$43="0,5s",0.5,IF($B$43=0.5,0.5,IF($B$43="0,2s",0.2,IF($B$43=0.2,0.2,"Ошибка")))))</f>
        <v>Ошибка</v>
      </c>
      <c r="T49" s="25" t="str">
        <f>IF(G18="-","-",IF($B$43="0,5s",-30,IF($B$43=0.5,-30,IF($B$43="0,2s",-10,IF($B$43=0.2,-10,"Ошибка")))))</f>
        <v>Ошибка</v>
      </c>
      <c r="U49" s="25" t="str">
        <f>IF(G18="-","-",IF($B$43="0,5s",30,IF($B$43=0.5,30,IF($B$43="0,2s",10,IF($B$43=0.2,10,"Ошибка")))))</f>
        <v>Ошибка</v>
      </c>
    </row>
    <row r="50" spans="1:32" ht="15" customHeight="1" x14ac:dyDescent="0.3">
      <c r="A50" s="71" t="s">
        <v>37</v>
      </c>
      <c r="B50" s="71"/>
      <c r="C50" s="71"/>
      <c r="D50" s="71"/>
      <c r="E50" s="71"/>
      <c r="F50" s="71"/>
      <c r="G50" s="71"/>
      <c r="H50" s="71"/>
      <c r="I50" s="3"/>
      <c r="J50" s="3"/>
    </row>
    <row r="51" spans="1:32" ht="15" customHeight="1" x14ac:dyDescent="0.3">
      <c r="A51" s="3"/>
      <c r="B51" s="71" t="s">
        <v>55</v>
      </c>
      <c r="C51" s="71"/>
      <c r="D51" s="71"/>
      <c r="E51" s="71"/>
      <c r="F51" s="71"/>
      <c r="G51" s="71"/>
      <c r="H51" s="71"/>
      <c r="I51" s="7"/>
      <c r="J51" s="3"/>
      <c r="N51" s="12"/>
      <c r="O51" s="12"/>
    </row>
    <row r="52" spans="1:32" ht="15" customHeight="1" x14ac:dyDescent="0.3">
      <c r="A52" s="71" t="s">
        <v>38</v>
      </c>
      <c r="B52" s="71"/>
      <c r="C52" s="71"/>
      <c r="D52" s="71"/>
      <c r="E52" s="11"/>
      <c r="F52" s="11"/>
      <c r="G52" s="11"/>
      <c r="H52" s="11"/>
      <c r="I52" s="3"/>
      <c r="J52" s="3"/>
      <c r="U52" s="25"/>
    </row>
    <row r="53" spans="1:32" ht="15" customHeight="1" x14ac:dyDescent="0.3">
      <c r="A53" s="72" t="s">
        <v>48</v>
      </c>
      <c r="B53" s="72" t="s">
        <v>39</v>
      </c>
      <c r="C53" s="72" t="s">
        <v>47</v>
      </c>
      <c r="D53" s="72" t="s">
        <v>57</v>
      </c>
      <c r="E53" s="70" t="s">
        <v>40</v>
      </c>
      <c r="F53" s="70"/>
      <c r="G53" s="70"/>
      <c r="H53" s="70"/>
      <c r="I53" s="70"/>
      <c r="J53" s="70"/>
      <c r="U53" s="25"/>
    </row>
    <row r="54" spans="1:32" ht="15" customHeight="1" x14ac:dyDescent="0.3">
      <c r="A54" s="72"/>
      <c r="B54" s="72"/>
      <c r="C54" s="72"/>
      <c r="D54" s="72"/>
      <c r="E54" s="80" t="s">
        <v>42</v>
      </c>
      <c r="F54" s="80"/>
      <c r="G54" s="80" t="s">
        <v>43</v>
      </c>
      <c r="H54" s="80"/>
      <c r="I54" s="80" t="s">
        <v>44</v>
      </c>
      <c r="J54" s="80"/>
    </row>
    <row r="55" spans="1:32" ht="96" customHeight="1" x14ac:dyDescent="0.25">
      <c r="A55" s="79"/>
      <c r="B55" s="79"/>
      <c r="C55" s="72"/>
      <c r="D55" s="72"/>
      <c r="E55" s="26" t="s">
        <v>41</v>
      </c>
      <c r="F55" s="26" t="s">
        <v>52</v>
      </c>
      <c r="G55" s="26" t="s">
        <v>41</v>
      </c>
      <c r="H55" s="26" t="s">
        <v>52</v>
      </c>
      <c r="I55" s="26" t="s">
        <v>41</v>
      </c>
      <c r="J55" s="26" t="s">
        <v>52</v>
      </c>
    </row>
    <row r="56" spans="1:32" ht="20.25" customHeight="1" x14ac:dyDescent="0.25">
      <c r="A56" s="85">
        <v>50</v>
      </c>
      <c r="B56" s="87">
        <f>D43</f>
        <v>0</v>
      </c>
      <c r="C56" s="84" t="s">
        <v>53</v>
      </c>
      <c r="D56" s="72"/>
      <c r="E56" s="72"/>
      <c r="F56" s="72"/>
      <c r="G56" s="72"/>
      <c r="H56" s="72"/>
      <c r="I56" s="72"/>
      <c r="J56" s="72"/>
      <c r="M56" s="91" t="s">
        <v>24</v>
      </c>
      <c r="N56" s="92"/>
      <c r="O56" s="92"/>
      <c r="P56" s="92"/>
      <c r="Q56" s="92"/>
      <c r="R56" s="92"/>
      <c r="T56" s="91" t="s">
        <v>50</v>
      </c>
      <c r="U56" s="92"/>
      <c r="V56" s="92"/>
      <c r="W56" s="92"/>
      <c r="X56" s="92"/>
      <c r="Y56" s="92"/>
      <c r="AA56" s="91">
        <v>1</v>
      </c>
      <c r="AB56" s="92"/>
      <c r="AC56" s="92"/>
      <c r="AD56" s="92"/>
      <c r="AE56" s="92"/>
      <c r="AF56" s="92"/>
    </row>
    <row r="57" spans="1:32" ht="27.95" customHeight="1" x14ac:dyDescent="0.35">
      <c r="A57" s="86"/>
      <c r="B57" s="88"/>
      <c r="C57" s="83">
        <f>H43</f>
        <v>0</v>
      </c>
      <c r="D57" s="19">
        <v>1</v>
      </c>
      <c r="E57" s="27" t="str">
        <f ca="1">IF(ISERROR(SEARCH("s",B43)),"-",-0.6+RANDBETWEEN(-10,10)/100+RANDBETWEEN(-10,10)/150+RANDBETWEEN(-10,10)/500)</f>
        <v>-</v>
      </c>
      <c r="F57" s="27" t="str">
        <f ca="1">IF(ISERROR(SEARCH("s",B43)),"-",18+RANDBETWEEN(-10,10)/5+RANDBETWEEN(-10,10)/150+RANDBETWEEN(-10,10)/500)</f>
        <v>-</v>
      </c>
      <c r="G57" s="27" t="str">
        <f ca="1">IF(ISERROR(SEARCH("s",B43)),"-",-0.6+RANDBETWEEN(-10,10)/100+RANDBETWEEN(-10,10)/150+RANDBETWEEN(-10,10)/500)</f>
        <v>-</v>
      </c>
      <c r="H57" s="27" t="str">
        <f ca="1">IF(ISERROR(SEARCH("s",B43)),"-",18+RANDBETWEEN(-10,10)/5+RANDBETWEEN(-10,10)/150+RANDBETWEEN(-10,10)/500)</f>
        <v>-</v>
      </c>
      <c r="I57" s="27" t="str">
        <f ca="1">IF(ISERROR(SEARCH("s",B43)),"-",-0.6+RANDBETWEEN(-10,10)/100+RANDBETWEEN(-10,10)/150+RANDBETWEEN(-10,10)/500)</f>
        <v>-</v>
      </c>
      <c r="J57" s="27" t="str">
        <f ca="1">IF(ISERROR(SEARCH("s",B43)),"-",18+RANDBETWEEN(-10,10)/5+RANDBETWEEN(-10,10)/150+RANDBETWEEN(-10,10)/500)</f>
        <v>-</v>
      </c>
      <c r="L57" s="41"/>
      <c r="M57" s="22">
        <f ca="1">-0.4+RANDBETWEEN(-10,10)/150+RANDBETWEEN(-10,10)/200+RANDBETWEEN(-10,10)/500</f>
        <v>-0.39033333333333337</v>
      </c>
      <c r="N57" s="22">
        <f ca="1">16+RANDBETWEEN(-10,10)/5+RANDBETWEEN(-10,10)/150+RANDBETWEEN(-10,10)/500</f>
        <v>14.595333333333333</v>
      </c>
      <c r="O57" s="22">
        <f ca="1">-0.4+RANDBETWEEN(-10,10)/150+RANDBETWEEN(-10,10)/200+RANDBETWEEN(-10,10)/500</f>
        <v>-0.3773333333333333</v>
      </c>
      <c r="P57" s="22">
        <f ca="1">16+RANDBETWEEN(-10,10)/5+RANDBETWEEN(-10,10)/150+RANDBETWEEN(-10,10)/500</f>
        <v>15.552000000000001</v>
      </c>
      <c r="Q57" s="22">
        <f ca="1">-0.4+RANDBETWEEN(-10,10)/150+RANDBETWEEN(-10,10)/200+RANDBETWEEN(-10,10)/500</f>
        <v>-0.39566666666666672</v>
      </c>
      <c r="R57" s="22">
        <f ca="1">16+RANDBETWEEN(-10,10)/5+RANDBETWEEN(-10,10)/150+RANDBETWEEN(-10,10)/500</f>
        <v>16.152666666666665</v>
      </c>
      <c r="S57" s="3"/>
      <c r="T57" s="22">
        <f ca="1">-0.7+RANDBETWEEN(-10,10)/100+RANDBETWEEN(-10,10)/150+RANDBETWEEN(-10,10)/500</f>
        <v>-0.64666666666666661</v>
      </c>
      <c r="U57" s="22">
        <f ca="1">19+RANDBETWEEN(-10,10)/5+RANDBETWEEN(-10,10)/150+RANDBETWEEN(-10,10)/500</f>
        <v>21.004000000000001</v>
      </c>
      <c r="V57" s="22">
        <f ca="1">-0.7+RANDBETWEEN(-10,10)/100+RANDBETWEEN(-10,10)/150+RANDBETWEEN(-10,10)/500</f>
        <v>-0.6433333333333332</v>
      </c>
      <c r="W57" s="22">
        <f ca="1">19+RANDBETWEEN(-10,10)/5+RANDBETWEEN(-10,10)/150+RANDBETWEEN(-10,10)/500</f>
        <v>20.861999999999998</v>
      </c>
      <c r="X57" s="22">
        <f ca="1">-0.7+RANDBETWEEN(-10,10)/100+RANDBETWEEN(-10,10)/150+RANDBETWEEN(-10,10)/500</f>
        <v>-0.58733333333333326</v>
      </c>
      <c r="Y57" s="22">
        <f ca="1">19+RANDBETWEEN(-10,10)/5+RANDBETWEEN(-10,10)/150+RANDBETWEEN(-10,10)/500</f>
        <v>17.720000000000002</v>
      </c>
      <c r="AA57" s="22" t="s">
        <v>5</v>
      </c>
      <c r="AB57" s="22" t="s">
        <v>5</v>
      </c>
      <c r="AC57" s="22" t="s">
        <v>5</v>
      </c>
      <c r="AD57" s="22" t="s">
        <v>5</v>
      </c>
      <c r="AE57" s="22" t="s">
        <v>5</v>
      </c>
      <c r="AF57" s="22" t="s">
        <v>5</v>
      </c>
    </row>
    <row r="58" spans="1:32" ht="27.95" customHeight="1" x14ac:dyDescent="0.35">
      <c r="A58" s="86"/>
      <c r="B58" s="88"/>
      <c r="C58" s="83"/>
      <c r="D58" s="20">
        <v>5</v>
      </c>
      <c r="E58" s="27">
        <f ca="1">-0.3+RANDBETWEEN(-10,10)/100+RANDBETWEEN(-10,10)/150+RANDBETWEEN(-10,10)/500</f>
        <v>-0.3726666666666667</v>
      </c>
      <c r="F58" s="27">
        <f ca="1">14+RANDBETWEEN(-10,10)/5+RANDBETWEEN(-10,10)/150+RANDBETWEEN(-10,10)/500</f>
        <v>14.416</v>
      </c>
      <c r="G58" s="27">
        <f ca="1">-0.3+RANDBETWEEN(-10,10)/100+RANDBETWEEN(-10,10)/150+RANDBETWEEN(-10,10)/500</f>
        <v>-0.28666666666666663</v>
      </c>
      <c r="H58" s="27">
        <f ca="1">14+RANDBETWEEN(-10,10)/5+RANDBETWEEN(-10,10)/150+RANDBETWEEN(-10,10)/500</f>
        <v>14.972666666666667</v>
      </c>
      <c r="I58" s="27">
        <f ca="1">-0.3+RANDBETWEEN(-10,10)/100+RANDBETWEEN(-10,10)/150+RANDBETWEEN(-10,10)/500</f>
        <v>-0.20866666666666667</v>
      </c>
      <c r="J58" s="27">
        <f ca="1">14+RANDBETWEEN(-10,10)/5+RANDBETWEEN(-10,10)/150+RANDBETWEEN(-10,10)/500</f>
        <v>11.941333333333333</v>
      </c>
      <c r="L58" s="41"/>
      <c r="M58" s="22">
        <f ca="1">-0.25+RANDBETWEEN(-10,10)/170+RANDBETWEEN(-10,10)/200+RANDBETWEEN(-10,10)/600</f>
        <v>-0.1946078431372549</v>
      </c>
      <c r="N58" s="22">
        <f ca="1">12+RANDBETWEEN(-10,10)/5+RANDBETWEEN(-10,10)/150+RANDBETWEEN(-10,10)/500</f>
        <v>11.254666666666665</v>
      </c>
      <c r="O58" s="22">
        <f ca="1">-0.25+RANDBETWEEN(-10,10)/170+RANDBETWEEN(-10,10)/200+RANDBETWEEN(-10,10)/600</f>
        <v>-0.215</v>
      </c>
      <c r="P58" s="22">
        <f ca="1">12+RANDBETWEEN(-10,10)/5+RANDBETWEEN(-10,10)/150+RANDBETWEEN(-10,10)/500</f>
        <v>13.754000000000001</v>
      </c>
      <c r="Q58" s="22">
        <f ca="1">-0.25+RANDBETWEEN(-10,10)/170+RANDBETWEEN(-10,10)/200+RANDBETWEEN(-10,10)/600</f>
        <v>-0.30617647058823533</v>
      </c>
      <c r="R58" s="22">
        <f ca="1">12+RANDBETWEEN(-10,10)/5+RANDBETWEEN(-10,10)/150+RANDBETWEEN(-10,10)/500</f>
        <v>12.611333333333333</v>
      </c>
      <c r="T58" s="22">
        <f ca="1">-0.4+RANDBETWEEN(-10,10)/100+RANDBETWEEN(-10,10)/150+RANDBETWEEN(-10,10)/500</f>
        <v>-0.43200000000000005</v>
      </c>
      <c r="U58" s="22">
        <f ca="1">15+RANDBETWEEN(-10,10)/5+RANDBETWEEN(-10,10)/150+RANDBETWEEN(-10,10)/500</f>
        <v>13.569333333333333</v>
      </c>
      <c r="V58" s="22">
        <f ca="1">-0.4+RANDBETWEEN(-10,10)/100+RANDBETWEEN(-10,10)/150+RANDBETWEEN(-10,10)/500</f>
        <v>-0.38533333333333336</v>
      </c>
      <c r="W58" s="22">
        <f ca="1">14+RANDBETWEEN(-10,10)/5+RANDBETWEEN(-10,10)/150+RANDBETWEEN(-10,10)/500</f>
        <v>13.806666666666667</v>
      </c>
      <c r="X58" s="22">
        <f ca="1">-0.4+RANDBETWEEN(-10,10)/100+RANDBETWEEN(-10,10)/150+RANDBETWEEN(-10,10)/500</f>
        <v>-0.51</v>
      </c>
      <c r="Y58" s="22">
        <f ca="1">15+RANDBETWEEN(-10,10)/5+RANDBETWEEN(-10,10)/150+RANDBETWEEN(-10,10)/500</f>
        <v>16.355999999999998</v>
      </c>
      <c r="AA58" s="22">
        <f ca="1">-1.5+RANDBETWEEN(-10,10)/100+RANDBETWEEN(-10,10)/150+RANDBETWEEN(-10,10)/500</f>
        <v>-1.4806666666666666</v>
      </c>
      <c r="AB58" s="22">
        <f ca="1">15+RANDBETWEEN(-10,10)/5+RANDBETWEEN(-10,10)/150+RANDBETWEEN(-10,10)/500</f>
        <v>13.442</v>
      </c>
      <c r="AC58" s="22">
        <f ca="1">-0.4+RANDBETWEEN(-10,10)/100+RANDBETWEEN(-10,10)/150+RANDBETWEEN(-10,10)/500</f>
        <v>-0.52266666666666672</v>
      </c>
      <c r="AD58" s="22">
        <f ca="1">14+RANDBETWEEN(-10,10)/5+RANDBETWEEN(-10,10)/150+RANDBETWEEN(-10,10)/500</f>
        <v>12.366666666666667</v>
      </c>
      <c r="AE58" s="22">
        <f ca="1">-0.4+RANDBETWEEN(-10,10)/100+RANDBETWEEN(-10,10)/150+RANDBETWEEN(-10,10)/500</f>
        <v>-0.35733333333333334</v>
      </c>
      <c r="AF58" s="22">
        <f ca="1">15+RANDBETWEEN(-10,10)/5+RANDBETWEEN(-10,10)/150+RANDBETWEEN(-10,10)/500</f>
        <v>16.346666666666664</v>
      </c>
    </row>
    <row r="59" spans="1:32" ht="27.95" customHeight="1" x14ac:dyDescent="0.35">
      <c r="A59" s="86"/>
      <c r="B59" s="88"/>
      <c r="C59" s="83"/>
      <c r="D59" s="20">
        <v>20</v>
      </c>
      <c r="E59" s="27">
        <f ca="1">-0.2+RANDBETWEEN(-10,10)/100+RANDBETWEEN(-10,10)/150+RANDBETWEEN(-10,10)/500</f>
        <v>-0.16800000000000001</v>
      </c>
      <c r="F59" s="27">
        <f ca="1">10+RANDBETWEEN(-10,10)/5+RANDBETWEEN(-10,10)/150+RANDBETWEEN(-10,10)/500</f>
        <v>10.572000000000001</v>
      </c>
      <c r="G59" s="27">
        <f ca="1">-0.2+RANDBETWEEN(-10,10)/100+RANDBETWEEN(-10,10)/150+RANDBETWEEN(-10,10)/500</f>
        <v>-0.10133333333333333</v>
      </c>
      <c r="H59" s="27">
        <f ca="1">10+RANDBETWEEN(-10,10)/5+RANDBETWEEN(-10,10)/150+RANDBETWEEN(-10,10)/500</f>
        <v>10.226666666666665</v>
      </c>
      <c r="I59" s="27">
        <f ca="1">-0.2+RANDBETWEEN(-10,10)/100+RANDBETWEEN(-10,10)/150+RANDBETWEEN(-10,10)/500</f>
        <v>-0.32400000000000001</v>
      </c>
      <c r="J59" s="27">
        <f ca="1">10+RANDBETWEEN(-10,10)/5+RANDBETWEEN(-10,10)/150+RANDBETWEEN(-10,10)/500</f>
        <v>11.237333333333332</v>
      </c>
      <c r="L59" s="41"/>
      <c r="M59" s="22">
        <f ca="1">-0.15+RANDBETWEEN(-10,10)/170+RANDBETWEEN(-10,10)/200+RANDBETWEEN(-10,10)/600</f>
        <v>-0.11117647058823529</v>
      </c>
      <c r="N59" s="22">
        <f ca="1">8+RANDBETWEEN(-10,10)/5+RANDBETWEEN(-10,10)/150+RANDBETWEEN(-10,10)/500</f>
        <v>9.408666666666667</v>
      </c>
      <c r="O59" s="22">
        <f ca="1">-0.15+RANDBETWEEN(-10,10)/170+RANDBETWEEN(-10,10)/200+RANDBETWEEN(-10,10)/600</f>
        <v>-0.10343137254901959</v>
      </c>
      <c r="P59" s="22">
        <f ca="1">8+RANDBETWEEN(-10,10)/5+RANDBETWEEN(-10,10)/150+RANDBETWEEN(-10,10)/500</f>
        <v>7.354000000000001</v>
      </c>
      <c r="Q59" s="22">
        <f ca="1">-0.15+RANDBETWEEN(-10,10)/170+RANDBETWEEN(-10,10)/200+RANDBETWEEN(-10,10)/600</f>
        <v>-6.8725490196078431E-2</v>
      </c>
      <c r="R59" s="22">
        <f ca="1">8+RANDBETWEEN(-10,10)/5+RANDBETWEEN(-10,10)/150+RANDBETWEEN(-10,10)/500</f>
        <v>7.1533333333333333</v>
      </c>
      <c r="T59" s="22">
        <f ca="1">-0.3+RANDBETWEEN(-10,10)/100+RANDBETWEEN(-10,10)/150+RANDBETWEEN(-10,10)/500</f>
        <v>-0.28599999999999998</v>
      </c>
      <c r="U59" s="22">
        <f ca="1">10+RANDBETWEEN(-10,10)/5+RANDBETWEEN(-10,10)/150+RANDBETWEEN(-10,10)/500</f>
        <v>11.178666666666667</v>
      </c>
      <c r="V59" s="22">
        <f ca="1">-0.3+RANDBETWEEN(-10,10)/100+RANDBETWEEN(-10,10)/150+RANDBETWEEN(-10,10)/500</f>
        <v>-0.30533333333333335</v>
      </c>
      <c r="W59" s="22">
        <f ca="1">10+RANDBETWEEN(-10,10)/5+RANDBETWEEN(-10,10)/150+RANDBETWEEN(-10,10)/500</f>
        <v>11.232666666666667</v>
      </c>
      <c r="X59" s="22">
        <f ca="1">-0.3+RANDBETWEEN(-10,10)/100+RANDBETWEEN(-10,10)/150+RANDBETWEEN(-10,10)/500</f>
        <v>-0.26799999999999996</v>
      </c>
      <c r="Y59" s="22">
        <f ca="1">10+RANDBETWEEN(-10,10)/5+RANDBETWEEN(-10,10)/150+RANDBETWEEN(-10,10)/500</f>
        <v>8.799333333333335</v>
      </c>
      <c r="AA59" s="22">
        <f ca="1">-1.1+RANDBETWEEN(-10,10)/100+RANDBETWEEN(-10,10)/150+RANDBETWEEN(-10,10)/500</f>
        <v>-1.0433333333333334</v>
      </c>
      <c r="AB59" s="22">
        <f ca="1">10+RANDBETWEEN(-10,10)/5+RANDBETWEEN(-10,10)/150+RANDBETWEEN(-10,10)/500</f>
        <v>8.1513333333333318</v>
      </c>
      <c r="AC59" s="22">
        <f ca="1">-0.3+RANDBETWEEN(-10,10)/100+RANDBETWEEN(-10,10)/150+RANDBETWEEN(-10,10)/500</f>
        <v>-0.24199999999999999</v>
      </c>
      <c r="AD59" s="22">
        <f ca="1">10+RANDBETWEEN(-10,10)/5+RANDBETWEEN(-10,10)/150+RANDBETWEEN(-10,10)/500</f>
        <v>10.860666666666667</v>
      </c>
      <c r="AE59" s="22">
        <f ca="1">-0.3+RANDBETWEEN(-10,10)/100+RANDBETWEEN(-10,10)/150+RANDBETWEEN(-10,10)/500</f>
        <v>-0.15866666666666668</v>
      </c>
      <c r="AF59" s="22">
        <f ca="1">10+RANDBETWEEN(-10,10)/5+RANDBETWEEN(-10,10)/150+RANDBETWEEN(-10,10)/500</f>
        <v>12.047333333333333</v>
      </c>
    </row>
    <row r="60" spans="1:32" ht="27.95" customHeight="1" x14ac:dyDescent="0.35">
      <c r="A60" s="86"/>
      <c r="B60" s="88"/>
      <c r="C60" s="83"/>
      <c r="D60" s="20">
        <v>100</v>
      </c>
      <c r="E60" s="27">
        <f ca="1">-0.1+RANDBETWEEN(-10,10)/100+RANDBETWEEN(-10,10)/150+RANDBETWEEN(-10,10)/500</f>
        <v>-8.266666666666668E-2</v>
      </c>
      <c r="F60" s="27">
        <f ca="1">8+RANDBETWEEN(-10,10)/5+RANDBETWEEN(-10,10)/150+RANDBETWEEN(-10,10)/500</f>
        <v>7.4260000000000002</v>
      </c>
      <c r="G60" s="27">
        <f ca="1">-0.1+RANDBETWEEN(-10,10)/100+RANDBETWEEN(-10,10)/150+RANDBETWEEN(-10,10)/500</f>
        <v>-0.15200000000000002</v>
      </c>
      <c r="H60" s="27">
        <f ca="1">8+RANDBETWEEN(-10,10)/5+RANDBETWEEN(-10,10)/150+RANDBETWEEN(-10,10)/500</f>
        <v>6.056</v>
      </c>
      <c r="I60" s="27">
        <f ca="1">-0.1+RANDBETWEEN(-10,10)/100+RANDBETWEEN(-10,10)/150+RANDBETWEEN(-10,10)/500</f>
        <v>2.6666666666666672E-2</v>
      </c>
      <c r="J60" s="27">
        <f ca="1">8+RANDBETWEEN(-10,10)/5+RANDBETWEEN(-10,10)/150+RANDBETWEEN(-10,10)/500</f>
        <v>5.9740000000000002</v>
      </c>
      <c r="L60" s="41"/>
      <c r="M60" s="22">
        <f ca="1">-0.1+RANDBETWEEN(-10,10)/170+RANDBETWEEN(-10,10)/200+RANDBETWEEN(-10,10)/500</f>
        <v>-0.15800000000000003</v>
      </c>
      <c r="N60" s="22">
        <f ca="1">7+RANDBETWEEN(-10,10)/5+RANDBETWEEN(-10,10)/150+RANDBETWEEN(-10,10)/500</f>
        <v>5.330000000000001</v>
      </c>
      <c r="O60" s="22">
        <f ca="1">-0.1+RANDBETWEEN(-10,10)/170+RANDBETWEEN(-10,10)/200+RANDBETWEEN(-10,10)/500</f>
        <v>-4.2470588235294121E-2</v>
      </c>
      <c r="P60" s="22">
        <f ca="1">7+RANDBETWEEN(-10,10)/5+RANDBETWEEN(-10,10)/150+RANDBETWEEN(-10,10)/500</f>
        <v>6.4173333333333336</v>
      </c>
      <c r="Q60" s="22">
        <f ca="1">-0.1+RANDBETWEEN(-10,10)/170+RANDBETWEEN(-10,10)/200+RANDBETWEEN(-10,10)/500</f>
        <v>-0.14317647058823529</v>
      </c>
      <c r="R60" s="22">
        <f ca="1">7+RANDBETWEEN(-10,10)/5+RANDBETWEEN(-10,10)/150+RANDBETWEEN(-10,10)/500</f>
        <v>6.7873333333333328</v>
      </c>
      <c r="T60" s="22">
        <f ca="1">-0.2+RANDBETWEEN(-10,10)/100+RANDBETWEEN(-10,10)/150+RANDBETWEEN(-10,10)/500</f>
        <v>-0.15466666666666667</v>
      </c>
      <c r="U60" s="22">
        <f ca="1">8+RANDBETWEEN(-10,10)/5+RANDBETWEEN(-10,10)/150+RANDBETWEEN(-10,10)/500</f>
        <v>7.464666666666667</v>
      </c>
      <c r="V60" s="22">
        <f ca="1">-0.2+RANDBETWEEN(-10,10)/100+RANDBETWEEN(-10,10)/150+RANDBETWEEN(-10,10)/500</f>
        <v>-0.11533333333333336</v>
      </c>
      <c r="W60" s="22">
        <f ca="1">8+RANDBETWEEN(-10,10)/5+RANDBETWEEN(-10,10)/150+RANDBETWEEN(-10,10)/500</f>
        <v>7.5766666666666662</v>
      </c>
      <c r="X60" s="22">
        <f ca="1">-0.2+RANDBETWEEN(-10,10)/100+RANDBETWEEN(-10,10)/150+RANDBETWEEN(-10,10)/500</f>
        <v>-0.28266666666666668</v>
      </c>
      <c r="Y60" s="22">
        <f ca="1">8+RANDBETWEEN(-10,10)/5+RANDBETWEEN(-10,10)/150+RANDBETWEEN(-10,10)/500</f>
        <v>8.2319999999999993</v>
      </c>
      <c r="AA60" s="22">
        <f ca="1">-0.7+RANDBETWEEN(-10,10)/100+RANDBETWEEN(-10,10)/150+RANDBETWEEN(-10,10)/500</f>
        <v>-0.69533333333333325</v>
      </c>
      <c r="AB60" s="22">
        <f ca="1">8+RANDBETWEEN(-10,10)/5+RANDBETWEEN(-10,10)/150+RANDBETWEEN(-10,10)/500</f>
        <v>9.9313333333333329</v>
      </c>
      <c r="AC60" s="22">
        <f ca="1">-0.2+RANDBETWEEN(-10,10)/100+RANDBETWEEN(-10,10)/150+RANDBETWEEN(-10,10)/500</f>
        <v>-0.22999999999999998</v>
      </c>
      <c r="AD60" s="22">
        <f ca="1">8+RANDBETWEEN(-10,10)/5+RANDBETWEEN(-10,10)/150+RANDBETWEEN(-10,10)/500</f>
        <v>10.035333333333334</v>
      </c>
      <c r="AE60" s="22">
        <f ca="1">-0.2+RANDBETWEEN(-10,10)/100+RANDBETWEEN(-10,10)/150+RANDBETWEEN(-10,10)/500</f>
        <v>-0.29400000000000004</v>
      </c>
      <c r="AF60" s="22">
        <f ca="1">8+RANDBETWEEN(-10,10)/5+RANDBETWEEN(-10,10)/150+RANDBETWEEN(-10,10)/500</f>
        <v>7.1766666666666667</v>
      </c>
    </row>
    <row r="61" spans="1:32" ht="27.95" customHeight="1" x14ac:dyDescent="0.35">
      <c r="A61" s="86"/>
      <c r="B61" s="88"/>
      <c r="C61" s="39">
        <f>C57/4</f>
        <v>0</v>
      </c>
      <c r="D61" s="20">
        <v>120</v>
      </c>
      <c r="E61" s="27">
        <f ca="1">0.1+RANDBETWEEN(-10,10)/100+RANDBETWEEN(-10,10)/150+RANDBETWEEN(-10,10)/500</f>
        <v>0.18466666666666667</v>
      </c>
      <c r="F61" s="27">
        <f ca="1">9+RANDBETWEEN(-10,10)/5+RANDBETWEEN(-10,10)/150+RANDBETWEEN(-10,10)/500</f>
        <v>10.836666666666668</v>
      </c>
      <c r="G61" s="27">
        <f ca="1">0.1+RANDBETWEEN(-10,10)/100+RANDBETWEEN(-10,10)/150+RANDBETWEEN(-10,10)/500</f>
        <v>9.8000000000000004E-2</v>
      </c>
      <c r="H61" s="27">
        <f ca="1">9+RANDBETWEEN(-10,10)/5+RANDBETWEEN(-10,10)/150+RANDBETWEEN(-10,10)/500</f>
        <v>8.4653333333333336</v>
      </c>
      <c r="I61" s="27">
        <f ca="1">0.1+RANDBETWEEN(-10,10)/100+RANDBETWEEN(-10,10)/150+RANDBETWEEN(-10,10)/500</f>
        <v>0.15799999999999997</v>
      </c>
      <c r="J61" s="27">
        <f ca="1">9+RANDBETWEEN(-10,10)/5+RANDBETWEEN(-10,10)/150+RANDBETWEEN(-10,10)/500</f>
        <v>9.5359999999999996</v>
      </c>
      <c r="L61" s="41"/>
      <c r="M61" s="22">
        <f ca="1">0.1+RANDBETWEEN(-10,10)/170+RANDBETWEEN(-10,10)/200+RANDBETWEEN(-10,10)/500</f>
        <v>5.2705882352941186E-2</v>
      </c>
      <c r="N61" s="22">
        <f ca="1">6+RANDBETWEEN(-10,10)/5+RANDBETWEEN(-10,10)/150+RANDBETWEEN(-10,10)/500</f>
        <v>5.1506666666666669</v>
      </c>
      <c r="O61" s="22">
        <f ca="1">0.1+RANDBETWEEN(-10,10)/170+RANDBETWEEN(-10,10)/200+RANDBETWEEN(-10,10)/500</f>
        <v>0.17217647058823526</v>
      </c>
      <c r="P61" s="22">
        <f ca="1">6+RANDBETWEEN(-10,10)/5+RANDBETWEEN(-10,10)/150+RANDBETWEEN(-10,10)/500</f>
        <v>7.2866666666666662</v>
      </c>
      <c r="Q61" s="22">
        <f ca="1">0.1+RANDBETWEEN(-10,10)/170+RANDBETWEEN(-10,10)/200+RANDBETWEEN(-10,10)/500</f>
        <v>8.9647058823529413E-2</v>
      </c>
      <c r="R61" s="22">
        <f ca="1">6+RANDBETWEEN(-10,10)/5+RANDBETWEEN(-10,10)/150+RANDBETWEEN(-10,10)/500</f>
        <v>7.7966666666666669</v>
      </c>
      <c r="T61" s="22">
        <f ca="1">0.2+RANDBETWEEN(-10,10)/100+RANDBETWEEN(-10,10)/150+RANDBETWEEN(-10,10)/500</f>
        <v>0.35066666666666668</v>
      </c>
      <c r="U61" s="22">
        <f ca="1">9+RANDBETWEEN(-10,10)/5+RANDBETWEEN(-10,10)/150+RANDBETWEEN(-10,10)/500</f>
        <v>8.945333333333334</v>
      </c>
      <c r="V61" s="22">
        <f ca="1">0.2+RANDBETWEEN(-10,10)/100+RANDBETWEEN(-10,10)/150+RANDBETWEEN(-10,10)/500</f>
        <v>7.866666666666669E-2</v>
      </c>
      <c r="W61" s="22">
        <f ca="1">9+RANDBETWEEN(-10,10)/5+RANDBETWEEN(-10,10)/150+RANDBETWEEN(-10,10)/500</f>
        <v>7.9353333333333333</v>
      </c>
      <c r="X61" s="22">
        <f ca="1">0.2+RANDBETWEEN(-10,10)/100+RANDBETWEEN(-10,10)/150+RANDBETWEEN(-10,10)/500</f>
        <v>0.21600000000000003</v>
      </c>
      <c r="Y61" s="22">
        <f ca="1">9+RANDBETWEEN(-10,10)/5+RANDBETWEEN(-10,10)/150+RANDBETWEEN(-10,10)/500</f>
        <v>8.0133333333333336</v>
      </c>
      <c r="AA61" s="22">
        <f ca="1">0.6+RANDBETWEEN(-10,10)/100+RANDBETWEEN(-10,10)/150+RANDBETWEEN(-10,10)/500</f>
        <v>0.71333333333333326</v>
      </c>
      <c r="AB61" s="22">
        <f ca="1">9+RANDBETWEEN(-10,10)/5+RANDBETWEEN(-10,10)/150+RANDBETWEEN(-10,10)/500</f>
        <v>7.056</v>
      </c>
      <c r="AC61" s="22">
        <f ca="1">0.2+RANDBETWEEN(-10,10)/100+RANDBETWEEN(-10,10)/150+RANDBETWEEN(-10,10)/500</f>
        <v>0.14533333333333334</v>
      </c>
      <c r="AD61" s="22">
        <f ca="1">9+RANDBETWEEN(-10,10)/5+RANDBETWEEN(-10,10)/150+RANDBETWEEN(-10,10)/500</f>
        <v>8.9546666666666663</v>
      </c>
      <c r="AE61" s="22">
        <f ca="1">0.2+RANDBETWEEN(-10,10)/100+RANDBETWEEN(-10,10)/150+RANDBETWEEN(-10,10)/500</f>
        <v>0.17200000000000001</v>
      </c>
      <c r="AF61" s="22">
        <f ca="1">9+RANDBETWEEN(-10,10)/5+RANDBETWEEN(-10,10)/150+RANDBETWEEN(-10,10)/500</f>
        <v>8.6273333333333326</v>
      </c>
    </row>
    <row r="62" spans="1:32" ht="20.25" customHeight="1" x14ac:dyDescent="0.25">
      <c r="A62" s="86"/>
      <c r="B62" s="88"/>
      <c r="C62" s="84" t="s">
        <v>54</v>
      </c>
      <c r="D62" s="72"/>
      <c r="E62" s="72"/>
      <c r="F62" s="72"/>
      <c r="G62" s="72"/>
      <c r="H62" s="72"/>
      <c r="I62" s="72"/>
      <c r="J62" s="72"/>
    </row>
    <row r="63" spans="1:32" ht="21" customHeight="1" x14ac:dyDescent="0.35">
      <c r="A63" s="89"/>
      <c r="B63" s="90"/>
      <c r="C63" s="39">
        <f>H44</f>
        <v>0</v>
      </c>
      <c r="D63" s="21">
        <f>IF(C44="2И1-2И2",100,IF(C44="-","-","Ошибка"))</f>
        <v>100</v>
      </c>
      <c r="E63" s="27">
        <f ca="1">IF(C44="2И1-2И2",M63,IF(C44="-","-","Ошибка"))</f>
        <v>-0.55266666666666664</v>
      </c>
      <c r="F63" s="27" t="s">
        <v>5</v>
      </c>
      <c r="G63" s="27">
        <f ca="1">IF(C44="2И1-2И2",O63,IF(C44="-","-","Ошибка"))</f>
        <v>-0.57866666666666666</v>
      </c>
      <c r="H63" s="27" t="s">
        <v>5</v>
      </c>
      <c r="I63" s="27">
        <f ca="1">IF(C44="2И1-2И2",Q63,IF(C44="-","-","Ошибка"))</f>
        <v>-0.64733333333333332</v>
      </c>
      <c r="J63" s="27" t="s">
        <v>5</v>
      </c>
      <c r="M63" s="27">
        <f ca="1">-0.6+RANDBETWEEN(-10,10)/100+RANDBETWEEN(-10,10)/150+RANDBETWEEN(-10,10)/500</f>
        <v>-0.55266666666666664</v>
      </c>
      <c r="O63" s="22">
        <f ca="1">IF(G18="-","-",-0.6+RANDBETWEEN(-10,10)/100+RANDBETWEEN(-10,10)/150+RANDBETWEEN(-10,10)/500)</f>
        <v>-0.57866666666666666</v>
      </c>
      <c r="Q63" s="27">
        <f ca="1">-0.6+RANDBETWEEN(-10,10)/100+RANDBETWEEN(-10,10)/150+RANDBETWEEN(-10,10)/500</f>
        <v>-0.64733333333333332</v>
      </c>
    </row>
    <row r="64" spans="1:32" s="11" customFormat="1" ht="46.5" customHeight="1" x14ac:dyDescent="0.3">
      <c r="A64" s="82" t="s">
        <v>45</v>
      </c>
      <c r="B64" s="82"/>
      <c r="C64" s="82"/>
      <c r="D64" s="82"/>
      <c r="E64" s="82"/>
      <c r="F64" s="82"/>
      <c r="G64" s="82"/>
      <c r="H64" s="82"/>
      <c r="I64" s="82"/>
      <c r="J64" s="82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s="3" customFormat="1" ht="16.5" customHeight="1" x14ac:dyDescent="0.3">
      <c r="A65" s="9"/>
      <c r="B65" s="9"/>
      <c r="C65" s="9"/>
      <c r="D65" s="9"/>
      <c r="E65" s="9"/>
      <c r="F65" s="9"/>
      <c r="G65" s="78"/>
      <c r="H65" s="7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s="3" customFormat="1" ht="17.25" customHeight="1" x14ac:dyDescent="0.35">
      <c r="A66" s="9"/>
      <c r="B66" s="9"/>
      <c r="C66" s="9"/>
      <c r="D66" s="9"/>
      <c r="E66" s="9"/>
      <c r="F66" s="9"/>
      <c r="G66" s="9"/>
      <c r="H66" s="9"/>
      <c r="L66" s="24"/>
      <c r="M66" s="23"/>
      <c r="N66" s="23"/>
      <c r="O66" s="23"/>
      <c r="P66" s="23"/>
      <c r="Q66" s="23"/>
      <c r="R66" s="23"/>
      <c r="S66" s="8"/>
      <c r="T66" s="8"/>
      <c r="U66" s="8"/>
      <c r="V66" s="8"/>
      <c r="W66" s="8"/>
      <c r="Y66" s="8"/>
    </row>
    <row r="67" spans="1:25" s="3" customFormat="1" ht="17.25" customHeight="1" x14ac:dyDescent="0.35">
      <c r="A67" s="9"/>
      <c r="B67" s="9" t="s">
        <v>22</v>
      </c>
      <c r="C67" s="81"/>
      <c r="D67" s="81"/>
      <c r="F67" s="77" t="s">
        <v>69</v>
      </c>
      <c r="G67" s="77"/>
      <c r="H67" s="77"/>
      <c r="L67" s="24"/>
      <c r="M67" s="23"/>
      <c r="N67" s="23"/>
      <c r="O67" s="23"/>
      <c r="P67" s="23"/>
      <c r="Q67" s="23"/>
      <c r="R67" s="23"/>
      <c r="S67" s="8"/>
      <c r="T67" s="8"/>
      <c r="U67" s="8"/>
      <c r="V67" s="8"/>
      <c r="W67" s="8"/>
      <c r="X67" s="8"/>
      <c r="Y67" s="8"/>
    </row>
    <row r="68" spans="1:25" ht="17.25" customHeight="1" x14ac:dyDescent="0.35">
      <c r="C68" s="76"/>
      <c r="D68" s="76"/>
      <c r="F68" s="76" t="s">
        <v>23</v>
      </c>
      <c r="G68" s="76"/>
      <c r="H68" s="76"/>
      <c r="L68" s="24"/>
      <c r="M68" s="23"/>
      <c r="N68" s="23"/>
      <c r="O68" s="23"/>
      <c r="P68" s="23"/>
      <c r="Q68" s="23"/>
      <c r="R68" s="23"/>
    </row>
    <row r="69" spans="1:25" ht="21" x14ac:dyDescent="0.35">
      <c r="L69" s="24"/>
      <c r="M69" s="23"/>
      <c r="N69" s="23"/>
      <c r="O69" s="23"/>
      <c r="P69" s="23"/>
      <c r="Q69" s="23"/>
      <c r="R69" s="23"/>
    </row>
    <row r="70" spans="1:25" ht="21" x14ac:dyDescent="0.35">
      <c r="L70" s="24"/>
      <c r="M70" s="23"/>
      <c r="N70" s="23"/>
      <c r="O70" s="23"/>
      <c r="P70" s="23"/>
      <c r="Q70" s="23"/>
      <c r="R70" s="23"/>
    </row>
  </sheetData>
  <mergeCells count="113">
    <mergeCell ref="A19:D19"/>
    <mergeCell ref="B47:D47"/>
    <mergeCell ref="AA56:AF56"/>
    <mergeCell ref="F20:J20"/>
    <mergeCell ref="A20:E20"/>
    <mergeCell ref="A16:D16"/>
    <mergeCell ref="A17:D17"/>
    <mergeCell ref="I15:J15"/>
    <mergeCell ref="G15:H15"/>
    <mergeCell ref="E15:F15"/>
    <mergeCell ref="A15:D15"/>
    <mergeCell ref="I16:J16"/>
    <mergeCell ref="I17:J17"/>
    <mergeCell ref="G17:H17"/>
    <mergeCell ref="E19:J19"/>
    <mergeCell ref="H42:J42"/>
    <mergeCell ref="M56:R56"/>
    <mergeCell ref="A22:C22"/>
    <mergeCell ref="A23:D23"/>
    <mergeCell ref="A24:D24"/>
    <mergeCell ref="A52:D52"/>
    <mergeCell ref="B45:H45"/>
    <mergeCell ref="B41:H41"/>
    <mergeCell ref="F43:G44"/>
    <mergeCell ref="E13:J13"/>
    <mergeCell ref="E14:F14"/>
    <mergeCell ref="G14:H14"/>
    <mergeCell ref="I14:J14"/>
    <mergeCell ref="A13:D14"/>
    <mergeCell ref="I18:J18"/>
    <mergeCell ref="E18:F18"/>
    <mergeCell ref="G18:H18"/>
    <mergeCell ref="A18:D18"/>
    <mergeCell ref="G16:H16"/>
    <mergeCell ref="E17:F17"/>
    <mergeCell ref="E16:F16"/>
    <mergeCell ref="F21:J21"/>
    <mergeCell ref="A21:E21"/>
    <mergeCell ref="A29:G29"/>
    <mergeCell ref="A31:G31"/>
    <mergeCell ref="A32:G32"/>
    <mergeCell ref="A33:G33"/>
    <mergeCell ref="A34:G34"/>
    <mergeCell ref="A35:H35"/>
    <mergeCell ref="A36:G36"/>
    <mergeCell ref="E24:F24"/>
    <mergeCell ref="I23:J23"/>
    <mergeCell ref="T56:Y56"/>
    <mergeCell ref="G24:H24"/>
    <mergeCell ref="I24:J24"/>
    <mergeCell ref="I25:J25"/>
    <mergeCell ref="I26:J26"/>
    <mergeCell ref="E23:F23"/>
    <mergeCell ref="G23:H23"/>
    <mergeCell ref="E25:F25"/>
    <mergeCell ref="C53:C55"/>
    <mergeCell ref="D53:D55"/>
    <mergeCell ref="E26:F26"/>
    <mergeCell ref="G26:H26"/>
    <mergeCell ref="G25:H25"/>
    <mergeCell ref="A25:D25"/>
    <mergeCell ref="H43:J43"/>
    <mergeCell ref="A39:H39"/>
    <mergeCell ref="D42:E42"/>
    <mergeCell ref="A26:D26"/>
    <mergeCell ref="B40:J40"/>
    <mergeCell ref="T44:U44"/>
    <mergeCell ref="B48:H48"/>
    <mergeCell ref="D43:E44"/>
    <mergeCell ref="B51:H51"/>
    <mergeCell ref="R44:S44"/>
    <mergeCell ref="F68:H68"/>
    <mergeCell ref="F67:H67"/>
    <mergeCell ref="G65:H65"/>
    <mergeCell ref="A53:A55"/>
    <mergeCell ref="B53:B55"/>
    <mergeCell ref="E54:F54"/>
    <mergeCell ref="G54:H54"/>
    <mergeCell ref="C68:D68"/>
    <mergeCell ref="C67:D67"/>
    <mergeCell ref="A64:J64"/>
    <mergeCell ref="C57:C60"/>
    <mergeCell ref="C56:J56"/>
    <mergeCell ref="C62:J62"/>
    <mergeCell ref="I54:J54"/>
    <mergeCell ref="A56:A61"/>
    <mergeCell ref="B56:B61"/>
    <mergeCell ref="A62:A63"/>
    <mergeCell ref="B62:B63"/>
    <mergeCell ref="L57:L61"/>
    <mergeCell ref="N44:O44"/>
    <mergeCell ref="P44:Q44"/>
    <mergeCell ref="C1:H6"/>
    <mergeCell ref="A9:D9"/>
    <mergeCell ref="E9:J9"/>
    <mergeCell ref="A10:D10"/>
    <mergeCell ref="E10:J10"/>
    <mergeCell ref="A12:C12"/>
    <mergeCell ref="D12:J12"/>
    <mergeCell ref="A11:C11"/>
    <mergeCell ref="D11:J11"/>
    <mergeCell ref="A7:C7"/>
    <mergeCell ref="F7:G7"/>
    <mergeCell ref="E53:J53"/>
    <mergeCell ref="A46:H46"/>
    <mergeCell ref="A49:H49"/>
    <mergeCell ref="A50:H50"/>
    <mergeCell ref="H44:J44"/>
    <mergeCell ref="F42:G42"/>
    <mergeCell ref="A27:B27"/>
    <mergeCell ref="A38:H38"/>
    <mergeCell ref="A28:J28"/>
    <mergeCell ref="A30:J30"/>
  </mergeCells>
  <conditionalFormatting sqref="H29">
    <cfRule type="cellIs" dxfId="7" priority="18" operator="greaterThan">
      <formula>$F$7</formula>
    </cfRule>
  </conditionalFormatting>
  <conditionalFormatting sqref="J29">
    <cfRule type="cellIs" dxfId="6" priority="17" operator="lessThan">
      <formula>$F$7</formula>
    </cfRule>
  </conditionalFormatting>
  <conditionalFormatting sqref="H32">
    <cfRule type="cellIs" dxfId="5" priority="16" operator="greaterThan">
      <formula>$F$7</formula>
    </cfRule>
  </conditionalFormatting>
  <conditionalFormatting sqref="H34">
    <cfRule type="cellIs" dxfId="4" priority="14" operator="greaterThan">
      <formula>$F$7</formula>
    </cfRule>
  </conditionalFormatting>
  <conditionalFormatting sqref="H36:H37">
    <cfRule type="cellIs" dxfId="3" priority="10" operator="greaterThan">
      <formula>$F$7</formula>
    </cfRule>
  </conditionalFormatting>
  <conditionalFormatting sqref="H33">
    <cfRule type="cellIs" dxfId="2" priority="6" operator="greaterThan">
      <formula>$F$7</formula>
    </cfRule>
  </conditionalFormatting>
  <conditionalFormatting sqref="J32:J34">
    <cfRule type="cellIs" dxfId="1" priority="2" operator="lessThan">
      <formula>$F$7</formula>
    </cfRule>
  </conditionalFormatting>
  <conditionalFormatting sqref="J36">
    <cfRule type="cellIs" dxfId="0" priority="1" operator="lessThan">
      <formula>$F$7</formula>
    </cfRule>
  </conditionalFormatting>
  <dataValidations count="2">
    <dataValidation type="list" allowBlank="1" showInputMessage="1" showErrorMessage="1" sqref="B43">
      <formula1>KT</formula1>
    </dataValidation>
    <dataValidation errorStyle="information" allowBlank="1" showInputMessage="1" showErrorMessage="1" error="БРАК" sqref="E57:E61 I57:I61 G57:G61"/>
  </dataValidations>
  <pageMargins left="0.4" right="0.23622047244094491" top="0" bottom="0.74803149606299213" header="0.31496062992125984" footer="0.31496062992125984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Лист2</vt:lpstr>
      <vt:lpstr>KT</vt:lpstr>
      <vt:lpstr>Лист1!Область_печати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cp:lastPrinted>2025-08-15T08:14:35Z</cp:lastPrinted>
  <dcterms:created xsi:type="dcterms:W3CDTF">2023-11-16T07:54:04Z</dcterms:created>
  <dcterms:modified xsi:type="dcterms:W3CDTF">2026-06-28T13:45:57Z</dcterms:modified>
</cp:coreProperties>
</file>