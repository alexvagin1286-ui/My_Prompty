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660" yWindow="-15" windowWidth="19785" windowHeight="11760" tabRatio="656"/>
  </bookViews>
  <sheets>
    <sheet name="Лист1" sheetId="1" r:id="rId1"/>
    <sheet name="Лист2" sheetId="38" r:id="rId2"/>
  </sheets>
  <definedNames>
    <definedName name="KT">Лист1!#REF!</definedName>
    <definedName name="_xlnm.Print_Area" localSheetId="0">Лист1!$A$1:$N$74</definedName>
  </definedNames>
  <calcPr calcId="144525"/>
</workbook>
</file>

<file path=xl/calcChain.xml><?xml version="1.0" encoding="utf-8"?>
<calcChain xmlns="http://schemas.openxmlformats.org/spreadsheetml/2006/main">
  <c r="K68" i="1" l="1"/>
  <c r="E55" i="1" l="1"/>
  <c r="L67" i="1" l="1"/>
  <c r="K67" i="1"/>
  <c r="J67" i="1"/>
  <c r="I67" i="1"/>
  <c r="H67" i="1"/>
  <c r="G67" i="1"/>
  <c r="L66" i="1"/>
  <c r="K66" i="1"/>
  <c r="J66" i="1"/>
  <c r="I66" i="1"/>
  <c r="H66" i="1"/>
  <c r="G66" i="1"/>
  <c r="L65" i="1"/>
  <c r="K65" i="1"/>
  <c r="J65" i="1"/>
  <c r="I65" i="1"/>
  <c r="H65" i="1"/>
  <c r="G65" i="1"/>
  <c r="L64" i="1"/>
  <c r="K64" i="1"/>
  <c r="J64" i="1"/>
  <c r="I64" i="1"/>
  <c r="H64" i="1"/>
  <c r="G64" i="1"/>
  <c r="F67" i="1"/>
  <c r="E67" i="1"/>
  <c r="F66" i="1"/>
  <c r="E66" i="1"/>
  <c r="F65" i="1"/>
  <c r="E65" i="1"/>
  <c r="F64" i="1"/>
  <c r="E64" i="1"/>
  <c r="D64" i="1"/>
  <c r="D66" i="1"/>
  <c r="D67" i="1" l="1"/>
  <c r="D65" i="1"/>
</calcChain>
</file>

<file path=xl/sharedStrings.xml><?xml version="1.0" encoding="utf-8"?>
<sst xmlns="http://schemas.openxmlformats.org/spreadsheetml/2006/main" count="109" uniqueCount="87">
  <si>
    <t xml:space="preserve">ПРОТОКОЛ ПОВЕРКИ № </t>
  </si>
  <si>
    <t>Вид поверки</t>
  </si>
  <si>
    <t>Период проведения поверки (даты)</t>
  </si>
  <si>
    <t xml:space="preserve">Владелец СИ </t>
  </si>
  <si>
    <t>Место выполнения работы (адрес, корпус)</t>
  </si>
  <si>
    <t>-</t>
  </si>
  <si>
    <t xml:space="preserve">Отметка о поверке в сокращенном объеме </t>
  </si>
  <si>
    <t>Номер знака предыдущей поверки</t>
  </si>
  <si>
    <t>Заводской (серийный) номер</t>
  </si>
  <si>
    <t>Номер и наименование методики поверки</t>
  </si>
  <si>
    <t>Условия проведения операций поверки:</t>
  </si>
  <si>
    <t>нормируемые</t>
  </si>
  <si>
    <t>текущие</t>
  </si>
  <si>
    <t>ед. изм.</t>
  </si>
  <si>
    <t>Атмосферное давление</t>
  </si>
  <si>
    <t>Относительная влажность воздуха</t>
  </si>
  <si>
    <t>от 30 до 80</t>
  </si>
  <si>
    <t>от</t>
  </si>
  <si>
    <t>Средства поверки:</t>
  </si>
  <si>
    <t xml:space="preserve">Результаты поверки: </t>
  </si>
  <si>
    <t xml:space="preserve">1. Внешний осмотр: </t>
  </si>
  <si>
    <t>Поверитель</t>
  </si>
  <si>
    <t>Фамилия, имя, отчество</t>
  </si>
  <si>
    <t>мм рт. ст</t>
  </si>
  <si>
    <t>%</t>
  </si>
  <si>
    <t>°С</t>
  </si>
  <si>
    <t xml:space="preserve">на табличке трансформатора четко указаны его метрологические и технические данные: </t>
  </si>
  <si>
    <t>контактные зажимы, выводы первичной и вторичной обмоток        исправны и        снабжены маркировкой;</t>
  </si>
  <si>
    <t>Класс  точности</t>
  </si>
  <si>
    <t>Фаза А</t>
  </si>
  <si>
    <t>Фаза В</t>
  </si>
  <si>
    <t>Фаза С</t>
  </si>
  <si>
    <t>Федеральное государственное унитарное предприятие  «Всероссийский научно-исследовательский институт физико-технических и радиотехнических измерений»  Западно-Сибирский филиал ФГУП «ВНИИФТРИ»</t>
  </si>
  <si>
    <t xml:space="preserve"> </t>
  </si>
  <si>
    <t xml:space="preserve">2. Прибор для измерения электроэнергетических величин и показателей качества электрической энергии «Энергомонитор-3.3Т1», </t>
  </si>
  <si>
    <t>Вагин Александр Юрьевич</t>
  </si>
  <si>
    <t>действ. до</t>
  </si>
  <si>
    <t xml:space="preserve">зав. № 2787, рег. №39952-08,  ФИФ 39952.08.2Р.00954125; эталон 2-го разряда,    
</t>
  </si>
  <si>
    <t>св-во С-НН/23-10-2025/476101774 от</t>
  </si>
  <si>
    <t>Обозначение обмотки</t>
  </si>
  <si>
    <t>Трансформатор напряжения</t>
  </si>
  <si>
    <t>Температура окружающего воздуха</t>
  </si>
  <si>
    <t>Гц</t>
  </si>
  <si>
    <t>Отклонение частоты источника высокого напряжения и сети питания низковольтных средств измерений от номинального значения</t>
  </si>
  <si>
    <t>Колебания напряжения источника высокого напряжения и сети питания низковольтных средств измерений</t>
  </si>
  <si>
    <t>Коэффициент гармоник кривой переменного напряжения источника высокого напряжения и сети питания низковольтных средств измерений</t>
  </si>
  <si>
    <t>от 5 до 35</t>
  </si>
  <si>
    <t xml:space="preserve">от 630 до 795 </t>
  </si>
  <si>
    <t xml:space="preserve">1. Преобразователь напряжения измерительный высоковольтный ёмкостной масштабный рег. №32575-11, эталон 2 разряда, </t>
  </si>
  <si>
    <t>Номинальный первичное напряжение, В</t>
  </si>
  <si>
    <t>Номинальный вторичное напряжение, В</t>
  </si>
  <si>
    <t>а-х</t>
  </si>
  <si>
    <t>Результат проверки:  соответствует п. 10.1 МП.</t>
  </si>
  <si>
    <t>2. Результат проверки по п. 10,2: контактные зажимы обозначены правильно</t>
  </si>
  <si>
    <t>3. Определение погрешности</t>
  </si>
  <si>
    <t>(a-x)</t>
  </si>
  <si>
    <t>(ад - хд)</t>
  </si>
  <si>
    <t>Погрешность ТН с учётом погрешности установки</t>
  </si>
  <si>
    <t>Sфакт, % от Sном</t>
  </si>
  <si>
    <t>δku(Тр), %</t>
  </si>
  <si>
    <t>Δϕ'u(Тр), мин</t>
  </si>
  <si>
    <t>Заключение: метрологические характеристики  соответствуют заявленному классу точности по ГОСТ 1983 и требованиям, установленным в описании типа. Средства измерений признаны пригодными к применению.</t>
  </si>
  <si>
    <t>U1/Uном, %</t>
  </si>
  <si>
    <r>
      <t xml:space="preserve">не более </t>
    </r>
    <r>
      <rPr>
        <sz val="12"/>
        <color theme="1"/>
        <rFont val="Calibri"/>
        <family val="2"/>
        <charset val="204"/>
      </rPr>
      <t>±0,5</t>
    </r>
  </si>
  <si>
    <r>
      <t xml:space="preserve">не более </t>
    </r>
    <r>
      <rPr>
        <sz val="12"/>
        <color theme="1"/>
        <rFont val="Calibri"/>
        <family val="2"/>
        <charset val="204"/>
      </rPr>
      <t>±5</t>
    </r>
  </si>
  <si>
    <r>
      <t xml:space="preserve">не более </t>
    </r>
    <r>
      <rPr>
        <sz val="12"/>
        <color theme="1"/>
        <rFont val="Calibri"/>
        <family val="2"/>
        <charset val="204"/>
      </rPr>
      <t>5</t>
    </r>
  </si>
  <si>
    <r>
      <t>S</t>
    </r>
    <r>
      <rPr>
        <b/>
        <vertAlign val="subscript"/>
        <sz val="12"/>
        <color theme="1"/>
        <rFont val="Calibri"/>
        <family val="2"/>
        <charset val="204"/>
        <scheme val="minor"/>
      </rPr>
      <t>НОМ</t>
    </r>
    <r>
      <rPr>
        <b/>
        <sz val="12"/>
        <color theme="1"/>
        <rFont val="Calibri"/>
        <family val="2"/>
        <charset val="204"/>
        <scheme val="minor"/>
      </rPr>
      <t>, В·А</t>
    </r>
  </si>
  <si>
    <t>Год выпуска СИ:</t>
  </si>
  <si>
    <t>периодическая</t>
  </si>
  <si>
    <t>—</t>
  </si>
  <si>
    <t>Регистрационный номер в ФИФ</t>
  </si>
  <si>
    <t>Тип (модификация) средства измерений СИ</t>
  </si>
  <si>
    <t>Наименование СИ, регистрационный номер в ФИФ</t>
  </si>
  <si>
    <t xml:space="preserve">дейтв. до </t>
  </si>
  <si>
    <t xml:space="preserve">6. Измеритель-регистратор автономный EClerk®-M-11-RHTP, рег. №80931-21, </t>
  </si>
  <si>
    <t xml:space="preserve">                           зав. №41204,   св-во С-Н/13-03-2026/511075752  от </t>
  </si>
  <si>
    <t>св-во  С-Н/07-10-2024/381573371 от</t>
  </si>
  <si>
    <t>3. Магазины нагрузок МР3025, рег. №22808-07, зав. №1798</t>
  </si>
  <si>
    <t>3. Магазины нагрузок МР3025, рег. №22808-07, зав. №1801</t>
  </si>
  <si>
    <t>ПВЕ-10-2, зав. №371 ФИФ №32575.11.2Р.01083684</t>
  </si>
  <si>
    <t>св-во С-ГЖЦ/09-04-2026/517882944  от</t>
  </si>
  <si>
    <t xml:space="preserve">ПВЕ-35      зав. №372    ФИФ № 32575.11.2Р.01059014 </t>
  </si>
  <si>
    <t>св-во С-ГЖЦ/09-04-2026/517882942  от</t>
  </si>
  <si>
    <t>ПВЕ-220   зав.№373      ФИФ №32575.11.2Р.01045677</t>
  </si>
  <si>
    <t>св-во С-ГЖЦ/09-04-2026/517882941  от</t>
  </si>
  <si>
    <t>св-во  С-Н/07-10-2024/381573368 от</t>
  </si>
  <si>
    <t>Напряжение на выводах разомкнутого треугольника трехфазной группы трансформаторов, (В):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</si>
</sst>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charset val="204"/>
      <scheme val="minor"/>
    </font>
    <font>
      <b/>
      <i/>
      <vertAlign val="superscript"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b/>
      <vertAlign val="subscript"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b/>
      <sz val="16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wrapText="1" inden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Font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1" fillId="0" borderId="0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14" fontId="3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left" wrapText="1" indent="2"/>
    </xf>
    <xf numFmtId="14" fontId="4" fillId="0" borderId="3" xfId="0" applyNumberFormat="1" applyFont="1" applyBorder="1" applyAlignment="1">
      <alignment horizontal="left" wrapText="1" indent="2"/>
    </xf>
    <xf numFmtId="14" fontId="4" fillId="0" borderId="4" xfId="0" applyNumberFormat="1" applyFont="1" applyBorder="1" applyAlignment="1">
      <alignment horizontal="left" wrapText="1" indent="2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0" fontId="4" fillId="0" borderId="2" xfId="0" applyNumberFormat="1" applyFont="1" applyBorder="1" applyAlignment="1">
      <alignment horizontal="left" vertical="top" wrapText="1" indent="1"/>
    </xf>
    <xf numFmtId="0" fontId="4" fillId="0" borderId="3" xfId="0" applyNumberFormat="1" applyFont="1" applyBorder="1" applyAlignment="1">
      <alignment horizontal="left" vertical="top" wrapText="1" indent="1"/>
    </xf>
    <xf numFmtId="0" fontId="4" fillId="0" borderId="4" xfId="0" applyNumberFormat="1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358589</xdr:colOff>
      <xdr:row>70</xdr:row>
      <xdr:rowOff>190500</xdr:rowOff>
    </xdr:from>
    <xdr:to>
      <xdr:col>4</xdr:col>
      <xdr:colOff>459442</xdr:colOff>
      <xdr:row>73</xdr:row>
      <xdr:rowOff>112059</xdr:rowOff>
    </xdr:to>
    <xdr:sp macro="" textlink="">
      <xdr:nvSpPr>
        <xdr:cNvPr id="7" name="Прямоугольник 6"/>
        <xdr:cNvSpPr/>
      </xdr:nvSpPr>
      <xdr:spPr>
        <a:xfrm>
          <a:off x="2151530" y="16876059"/>
          <a:ext cx="1501588" cy="582706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ru-RU"/>
        </a:p>
      </xdr:txBody>
    </xdr:sp>
    <xdr:clientData/>
  </xdr:twoCellAnchor>
  <xdr:twoCellAnchor>
    <xdr:from>
      <xdr:col>0</xdr:col>
      <xdr:colOff>588870</xdr:colOff>
      <xdr:row>0</xdr:row>
      <xdr:rowOff>132790</xdr:rowOff>
    </xdr:from>
    <xdr:to>
      <xdr:col>1</xdr:col>
      <xdr:colOff>598395</xdr:colOff>
      <xdr:row>4</xdr:row>
      <xdr:rowOff>56590</xdr:rowOff>
    </xdr:to>
    <xdr:pic>
      <xdr:nvPicPr>
        <xdr:cNvPr id="5" name="Рисунок 26" descr=" 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588870" y="132790"/>
          <a:ext cx="659466" cy="685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425825</xdr:colOff>
      <xdr:row>0</xdr:row>
      <xdr:rowOff>158561</xdr:rowOff>
    </xdr:from>
    <xdr:to>
      <xdr:col>13</xdr:col>
      <xdr:colOff>504266</xdr:colOff>
      <xdr:row>5</xdr:row>
      <xdr:rowOff>78441</xdr:rowOff>
    </xdr:to>
    <xdr:pic>
      <xdr:nvPicPr>
        <xdr:cNvPr id="6" name="Рисунок 25" descr=" 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7463119" y="158561"/>
          <a:ext cx="1243853" cy="8723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74"/>
  <sheetViews>
    <sheetView tabSelected="1" showWhiteSpace="0" topLeftCell="A52" zoomScaleNormal="100" workbookViewId="0">
      <selection activeCell="K68" sqref="K68:L68"/>
    </sheetView>
  </sheetViews>
  <sheetFormatPr defaultRowHeight="15" x14ac:dyDescent="0.25"/>
  <cols>
    <col min="1" max="1" width="9.7109375" style="6" customWidth="1"/>
    <col min="2" max="2" width="17.140625" style="6" customWidth="1"/>
    <col min="3" max="3" width="11.28515625" style="6" customWidth="1"/>
    <col min="4" max="14" width="9.7109375" style="6" customWidth="1"/>
    <col min="15" max="27" width="9.140625" style="6" customWidth="1"/>
    <col min="28" max="16384" width="9.140625" style="6"/>
  </cols>
  <sheetData>
    <row r="1" spans="1:18" ht="15" customHeight="1" x14ac:dyDescent="0.25">
      <c r="A1" s="1"/>
      <c r="B1" s="1"/>
      <c r="C1" s="47" t="s">
        <v>32</v>
      </c>
      <c r="D1" s="47"/>
      <c r="E1" s="47"/>
      <c r="F1" s="47"/>
      <c r="G1" s="47"/>
      <c r="H1" s="47"/>
      <c r="I1" s="47"/>
      <c r="J1" s="47"/>
      <c r="K1" s="47"/>
      <c r="L1" s="47"/>
    </row>
    <row r="2" spans="1:18" ht="15" customHeight="1" x14ac:dyDescent="0.25">
      <c r="A2" s="1"/>
      <c r="B2" s="1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8" ht="15" customHeight="1" x14ac:dyDescent="0.25">
      <c r="A3" s="1"/>
      <c r="B3" s="1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8" ht="15" customHeight="1" x14ac:dyDescent="0.25">
      <c r="A4" s="1"/>
      <c r="B4" s="1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8" ht="15" customHeight="1" x14ac:dyDescent="0.25">
      <c r="A5" s="1"/>
      <c r="B5" s="1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8" ht="15" customHeight="1" x14ac:dyDescent="0.25">
      <c r="C6" s="10"/>
      <c r="D6" s="10"/>
      <c r="E6" s="10"/>
      <c r="F6" s="10"/>
      <c r="G6" s="10"/>
      <c r="H6" s="10"/>
    </row>
    <row r="7" spans="1:18" s="5" customFormat="1" ht="21" customHeight="1" x14ac:dyDescent="0.35">
      <c r="A7" s="56" t="s">
        <v>0</v>
      </c>
      <c r="B7" s="56"/>
      <c r="C7" s="56"/>
      <c r="D7" s="83"/>
      <c r="E7" s="83"/>
      <c r="F7" s="4" t="s">
        <v>17</v>
      </c>
      <c r="G7" s="57"/>
      <c r="H7" s="57"/>
    </row>
    <row r="8" spans="1:18" ht="15.75" x14ac:dyDescent="0.25">
      <c r="A8" s="2"/>
      <c r="B8" s="2"/>
      <c r="C8" s="2"/>
      <c r="D8" s="2"/>
      <c r="E8" s="2"/>
      <c r="F8" s="2"/>
      <c r="G8" s="2"/>
      <c r="H8" s="2"/>
    </row>
    <row r="9" spans="1:18" ht="19.5" customHeight="1" x14ac:dyDescent="0.25">
      <c r="A9" s="77" t="s">
        <v>1</v>
      </c>
      <c r="B9" s="78"/>
      <c r="C9" s="78"/>
      <c r="D9" s="79"/>
      <c r="E9" s="62" t="s">
        <v>68</v>
      </c>
      <c r="F9" s="63"/>
      <c r="G9" s="63"/>
      <c r="H9" s="63"/>
      <c r="I9" s="63"/>
      <c r="J9" s="63"/>
      <c r="K9" s="63"/>
      <c r="L9" s="63"/>
      <c r="M9" s="63"/>
      <c r="N9" s="64"/>
      <c r="O9" s="2"/>
      <c r="P9" s="2"/>
    </row>
    <row r="10" spans="1:18" ht="20.25" customHeight="1" x14ac:dyDescent="0.25">
      <c r="A10" s="77" t="s">
        <v>2</v>
      </c>
      <c r="B10" s="78"/>
      <c r="C10" s="78"/>
      <c r="D10" s="79"/>
      <c r="E10" s="62"/>
      <c r="F10" s="63"/>
      <c r="G10" s="63"/>
      <c r="H10" s="63"/>
      <c r="I10" s="63"/>
      <c r="J10" s="63"/>
      <c r="K10" s="63"/>
      <c r="L10" s="63"/>
      <c r="M10" s="63"/>
      <c r="N10" s="64"/>
      <c r="O10" s="2"/>
      <c r="P10" s="2"/>
    </row>
    <row r="11" spans="1:18" ht="18.75" customHeight="1" x14ac:dyDescent="0.25">
      <c r="A11" s="49" t="s">
        <v>3</v>
      </c>
      <c r="B11" s="50"/>
      <c r="C11" s="50"/>
      <c r="D11" s="51"/>
      <c r="E11" s="65"/>
      <c r="F11" s="66"/>
      <c r="G11" s="66"/>
      <c r="H11" s="66"/>
      <c r="I11" s="66"/>
      <c r="J11" s="66"/>
      <c r="K11" s="66"/>
      <c r="L11" s="66"/>
      <c r="M11" s="66"/>
      <c r="N11" s="67"/>
      <c r="O11" s="2"/>
      <c r="P11" s="2"/>
      <c r="Q11" s="2"/>
      <c r="R11" s="2"/>
    </row>
    <row r="12" spans="1:18" ht="39.75" customHeight="1" x14ac:dyDescent="0.25">
      <c r="A12" s="49" t="s">
        <v>4</v>
      </c>
      <c r="B12" s="50"/>
      <c r="C12" s="50"/>
      <c r="D12" s="50"/>
      <c r="E12" s="51"/>
      <c r="F12" s="68"/>
      <c r="G12" s="69"/>
      <c r="H12" s="69"/>
      <c r="I12" s="69"/>
      <c r="J12" s="69"/>
      <c r="K12" s="69"/>
      <c r="L12" s="69"/>
      <c r="M12" s="69"/>
      <c r="N12" s="70"/>
      <c r="O12" s="2"/>
      <c r="P12" s="2"/>
      <c r="Q12" s="2"/>
      <c r="R12" s="2"/>
    </row>
    <row r="13" spans="1:18" ht="18.75" customHeight="1" x14ac:dyDescent="0.25">
      <c r="A13" s="71" t="s">
        <v>72</v>
      </c>
      <c r="B13" s="72"/>
      <c r="C13" s="72"/>
      <c r="D13" s="72"/>
      <c r="E13" s="73"/>
      <c r="F13" s="90" t="s">
        <v>40</v>
      </c>
      <c r="G13" s="90"/>
      <c r="H13" s="90"/>
      <c r="I13" s="90"/>
      <c r="J13" s="90"/>
      <c r="K13" s="90"/>
      <c r="L13" s="90"/>
      <c r="M13" s="90"/>
      <c r="N13" s="90"/>
      <c r="O13" s="2"/>
      <c r="P13" s="2"/>
    </row>
    <row r="14" spans="1:18" ht="18.75" customHeight="1" x14ac:dyDescent="0.25">
      <c r="A14" s="74"/>
      <c r="B14" s="75"/>
      <c r="C14" s="75"/>
      <c r="D14" s="75"/>
      <c r="E14" s="76"/>
      <c r="F14" s="90" t="s">
        <v>29</v>
      </c>
      <c r="G14" s="90"/>
      <c r="H14" s="90"/>
      <c r="I14" s="90" t="s">
        <v>30</v>
      </c>
      <c r="J14" s="90"/>
      <c r="K14" s="90"/>
      <c r="L14" s="90" t="s">
        <v>31</v>
      </c>
      <c r="M14" s="90"/>
      <c r="N14" s="90"/>
      <c r="O14" s="2"/>
      <c r="P14" s="2"/>
    </row>
    <row r="15" spans="1:18" ht="18.75" customHeight="1" x14ac:dyDescent="0.25">
      <c r="A15" s="52" t="s">
        <v>71</v>
      </c>
      <c r="B15" s="53"/>
      <c r="C15" s="53"/>
      <c r="D15" s="53"/>
      <c r="E15" s="53"/>
      <c r="F15" s="91"/>
      <c r="G15" s="91"/>
      <c r="H15" s="91"/>
      <c r="I15" s="91"/>
      <c r="J15" s="91"/>
      <c r="K15" s="91"/>
      <c r="L15" s="91"/>
      <c r="M15" s="91"/>
      <c r="N15" s="91"/>
      <c r="O15" s="2"/>
      <c r="P15" s="2"/>
    </row>
    <row r="16" spans="1:18" ht="18.75" customHeight="1" x14ac:dyDescent="0.25">
      <c r="A16" s="52" t="s">
        <v>67</v>
      </c>
      <c r="B16" s="53"/>
      <c r="C16" s="53"/>
      <c r="D16" s="53"/>
      <c r="E16" s="53"/>
      <c r="F16" s="91"/>
      <c r="G16" s="91"/>
      <c r="H16" s="91"/>
      <c r="I16" s="91"/>
      <c r="J16" s="91"/>
      <c r="K16" s="91"/>
      <c r="L16" s="91"/>
      <c r="M16" s="91"/>
      <c r="N16" s="91"/>
      <c r="O16" s="2"/>
      <c r="P16" s="2"/>
    </row>
    <row r="17" spans="1:19" ht="18.75" customHeight="1" x14ac:dyDescent="0.25">
      <c r="A17" s="52" t="s">
        <v>70</v>
      </c>
      <c r="B17" s="53"/>
      <c r="C17" s="53"/>
      <c r="D17" s="53"/>
      <c r="E17" s="54"/>
      <c r="F17" s="91"/>
      <c r="G17" s="91"/>
      <c r="H17" s="91"/>
      <c r="I17" s="91"/>
      <c r="J17" s="91"/>
      <c r="K17" s="91"/>
      <c r="L17" s="91"/>
      <c r="M17" s="91"/>
      <c r="N17" s="91"/>
      <c r="O17" s="2"/>
      <c r="P17" s="2"/>
    </row>
    <row r="18" spans="1:19" ht="18.75" customHeight="1" x14ac:dyDescent="0.25">
      <c r="A18" s="52" t="s">
        <v>8</v>
      </c>
      <c r="B18" s="53"/>
      <c r="C18" s="53"/>
      <c r="D18" s="53"/>
      <c r="E18" s="54"/>
      <c r="F18" s="91"/>
      <c r="G18" s="91"/>
      <c r="H18" s="91"/>
      <c r="I18" s="91"/>
      <c r="J18" s="91"/>
      <c r="K18" s="91"/>
      <c r="L18" s="91"/>
      <c r="M18" s="91"/>
      <c r="N18" s="91"/>
      <c r="O18" s="2"/>
      <c r="P18" s="2"/>
    </row>
    <row r="19" spans="1:19" ht="21.75" customHeight="1" x14ac:dyDescent="0.25">
      <c r="A19" s="52" t="s">
        <v>6</v>
      </c>
      <c r="B19" s="53"/>
      <c r="C19" s="53"/>
      <c r="D19" s="53"/>
      <c r="E19" s="54"/>
      <c r="F19" s="92" t="s">
        <v>69</v>
      </c>
      <c r="G19" s="93"/>
      <c r="H19" s="94"/>
      <c r="I19" s="92" t="s">
        <v>69</v>
      </c>
      <c r="J19" s="93"/>
      <c r="K19" s="94"/>
      <c r="L19" s="92" t="s">
        <v>69</v>
      </c>
      <c r="M19" s="93"/>
      <c r="N19" s="94"/>
      <c r="O19" s="2"/>
      <c r="P19" s="2"/>
    </row>
    <row r="20" spans="1:19" ht="19.5" customHeight="1" x14ac:dyDescent="0.25">
      <c r="A20" s="52" t="s">
        <v>7</v>
      </c>
      <c r="B20" s="53"/>
      <c r="C20" s="53"/>
      <c r="D20" s="53"/>
      <c r="E20" s="54"/>
      <c r="F20" s="92" t="s">
        <v>69</v>
      </c>
      <c r="G20" s="93"/>
      <c r="H20" s="94"/>
      <c r="I20" s="92" t="s">
        <v>69</v>
      </c>
      <c r="J20" s="93"/>
      <c r="K20" s="94"/>
      <c r="L20" s="92" t="s">
        <v>69</v>
      </c>
      <c r="M20" s="93"/>
      <c r="N20" s="94"/>
      <c r="O20" s="2"/>
      <c r="P20" s="2"/>
    </row>
    <row r="21" spans="1:19" ht="39.75" customHeight="1" x14ac:dyDescent="0.25">
      <c r="A21" s="52" t="s">
        <v>9</v>
      </c>
      <c r="B21" s="53"/>
      <c r="C21" s="53"/>
      <c r="D21" s="53"/>
      <c r="E21" s="54"/>
      <c r="F21" s="59"/>
      <c r="G21" s="60"/>
      <c r="H21" s="60"/>
      <c r="I21" s="60"/>
      <c r="J21" s="60"/>
      <c r="K21" s="60"/>
      <c r="L21" s="60"/>
      <c r="M21" s="60"/>
      <c r="N21" s="61"/>
      <c r="O21" s="2"/>
      <c r="P21" s="2"/>
    </row>
    <row r="22" spans="1:19" ht="12" customHeight="1" x14ac:dyDescent="0.25">
      <c r="A22" s="27"/>
      <c r="B22" s="27"/>
      <c r="C22" s="27"/>
      <c r="D22" s="27"/>
      <c r="E22" s="27"/>
      <c r="F22" s="24"/>
      <c r="G22" s="24"/>
      <c r="H22" s="24"/>
      <c r="I22" s="24"/>
      <c r="J22" s="24"/>
      <c r="K22" s="24"/>
      <c r="L22" s="24"/>
      <c r="M22" s="24"/>
      <c r="N22" s="24"/>
      <c r="O22" s="2"/>
      <c r="P22" s="2"/>
    </row>
    <row r="23" spans="1:19" ht="18.75" customHeight="1" x14ac:dyDescent="0.25">
      <c r="A23" s="43" t="s">
        <v>10</v>
      </c>
      <c r="B23" s="44"/>
      <c r="C23" s="44"/>
      <c r="D23" s="44"/>
      <c r="E23" s="44"/>
      <c r="F23" s="44"/>
      <c r="G23" s="44"/>
      <c r="H23" s="45"/>
      <c r="I23" s="43" t="s">
        <v>11</v>
      </c>
      <c r="J23" s="45"/>
      <c r="K23" s="43" t="s">
        <v>12</v>
      </c>
      <c r="L23" s="45"/>
      <c r="M23" s="43" t="s">
        <v>13</v>
      </c>
      <c r="N23" s="45"/>
      <c r="O23" s="2"/>
      <c r="P23" s="2"/>
      <c r="Q23" s="2"/>
      <c r="R23" s="2"/>
      <c r="S23" s="2"/>
    </row>
    <row r="24" spans="1:19" ht="17.100000000000001" customHeight="1" x14ac:dyDescent="0.25">
      <c r="A24" s="85" t="s">
        <v>41</v>
      </c>
      <c r="B24" s="86"/>
      <c r="C24" s="86"/>
      <c r="D24" s="86"/>
      <c r="E24" s="86"/>
      <c r="F24" s="86"/>
      <c r="G24" s="86"/>
      <c r="H24" s="87"/>
      <c r="I24" s="59" t="s">
        <v>46</v>
      </c>
      <c r="J24" s="61"/>
      <c r="K24" s="95"/>
      <c r="L24" s="96"/>
      <c r="M24" s="81" t="s">
        <v>25</v>
      </c>
      <c r="N24" s="82"/>
      <c r="O24" s="2"/>
      <c r="P24" s="2"/>
      <c r="Q24" s="2"/>
      <c r="R24" s="2"/>
      <c r="S24" s="2"/>
    </row>
    <row r="25" spans="1:19" ht="17.100000000000001" customHeight="1" x14ac:dyDescent="0.25">
      <c r="A25" s="85" t="s">
        <v>15</v>
      </c>
      <c r="B25" s="86"/>
      <c r="C25" s="86"/>
      <c r="D25" s="86"/>
      <c r="E25" s="86"/>
      <c r="F25" s="86"/>
      <c r="G25" s="86"/>
      <c r="H25" s="87"/>
      <c r="I25" s="59" t="s">
        <v>16</v>
      </c>
      <c r="J25" s="61"/>
      <c r="K25" s="95"/>
      <c r="L25" s="96"/>
      <c r="M25" s="81" t="s">
        <v>24</v>
      </c>
      <c r="N25" s="82"/>
      <c r="O25" s="2"/>
      <c r="P25" s="2"/>
      <c r="Q25" s="2"/>
      <c r="R25" s="2"/>
      <c r="S25" s="2"/>
    </row>
    <row r="26" spans="1:19" ht="15.75" x14ac:dyDescent="0.25">
      <c r="A26" s="88" t="s">
        <v>14</v>
      </c>
      <c r="B26" s="88"/>
      <c r="C26" s="88"/>
      <c r="D26" s="88"/>
      <c r="E26" s="88"/>
      <c r="F26" s="88"/>
      <c r="G26" s="88"/>
      <c r="H26" s="88"/>
      <c r="I26" s="55" t="s">
        <v>47</v>
      </c>
      <c r="J26" s="55"/>
      <c r="K26" s="80"/>
      <c r="L26" s="80"/>
      <c r="M26" s="42" t="s">
        <v>23</v>
      </c>
      <c r="N26" s="42"/>
      <c r="O26" s="2"/>
      <c r="P26" s="2"/>
      <c r="Q26" s="2"/>
      <c r="R26" s="2"/>
      <c r="S26" s="2"/>
    </row>
    <row r="27" spans="1:19" ht="15.75" x14ac:dyDescent="0.25">
      <c r="A27" s="88" t="s">
        <v>43</v>
      </c>
      <c r="B27" s="88"/>
      <c r="C27" s="88"/>
      <c r="D27" s="88"/>
      <c r="E27" s="88"/>
      <c r="F27" s="88"/>
      <c r="G27" s="88"/>
      <c r="H27" s="88"/>
      <c r="I27" s="55" t="s">
        <v>63</v>
      </c>
      <c r="J27" s="55"/>
      <c r="K27" s="80"/>
      <c r="L27" s="80"/>
      <c r="M27" s="42" t="s">
        <v>42</v>
      </c>
      <c r="N27" s="42"/>
      <c r="O27" s="2"/>
      <c r="P27" s="2"/>
      <c r="Q27" s="2"/>
      <c r="R27" s="2"/>
      <c r="S27" s="2"/>
    </row>
    <row r="28" spans="1:19" ht="15.75" x14ac:dyDescent="0.25">
      <c r="A28" s="88" t="s">
        <v>44</v>
      </c>
      <c r="B28" s="88"/>
      <c r="C28" s="88"/>
      <c r="D28" s="88"/>
      <c r="E28" s="88"/>
      <c r="F28" s="88"/>
      <c r="G28" s="88"/>
      <c r="H28" s="88"/>
      <c r="I28" s="55" t="s">
        <v>64</v>
      </c>
      <c r="J28" s="55"/>
      <c r="K28" s="80"/>
      <c r="L28" s="80"/>
      <c r="M28" s="42" t="s">
        <v>24</v>
      </c>
      <c r="N28" s="42"/>
      <c r="O28" s="2"/>
      <c r="P28" s="2"/>
      <c r="Q28" s="2"/>
      <c r="R28" s="2"/>
      <c r="S28" s="2"/>
    </row>
    <row r="29" spans="1:19" ht="31.5" customHeight="1" x14ac:dyDescent="0.25">
      <c r="A29" s="88" t="s">
        <v>45</v>
      </c>
      <c r="B29" s="88"/>
      <c r="C29" s="88"/>
      <c r="D29" s="88"/>
      <c r="E29" s="88"/>
      <c r="F29" s="88"/>
      <c r="G29" s="88"/>
      <c r="H29" s="88"/>
      <c r="I29" s="81" t="s">
        <v>65</v>
      </c>
      <c r="J29" s="82"/>
      <c r="K29" s="80"/>
      <c r="L29" s="80"/>
      <c r="M29" s="42" t="s">
        <v>24</v>
      </c>
      <c r="N29" s="42"/>
      <c r="O29" s="2"/>
      <c r="P29" s="2"/>
      <c r="Q29" s="2"/>
      <c r="R29" s="2"/>
      <c r="S29" s="2"/>
    </row>
    <row r="30" spans="1:19" ht="15.75" x14ac:dyDescent="0.25">
      <c r="A30" s="14"/>
      <c r="B30" s="14"/>
      <c r="C30" s="14"/>
      <c r="D30" s="14"/>
      <c r="E30" s="14"/>
      <c r="F30" s="14"/>
      <c r="G30" s="14"/>
      <c r="H30" s="15"/>
      <c r="I30" s="16"/>
      <c r="J30" s="15"/>
      <c r="K30" s="13"/>
      <c r="L30" s="2"/>
      <c r="M30" s="2"/>
      <c r="N30" s="2"/>
      <c r="O30" s="2"/>
      <c r="P30" s="2"/>
    </row>
    <row r="31" spans="1:19" s="2" customFormat="1" ht="15.75" x14ac:dyDescent="0.25">
      <c r="A31" s="58" t="s">
        <v>18</v>
      </c>
      <c r="B31" s="58"/>
      <c r="C31" s="9"/>
    </row>
    <row r="32" spans="1:19" s="2" customFormat="1" ht="15.75" x14ac:dyDescent="0.25">
      <c r="A32" s="33" t="s">
        <v>48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1:16" s="2" customFormat="1" ht="15.75" x14ac:dyDescent="0.25">
      <c r="A33" s="33" t="s">
        <v>79</v>
      </c>
      <c r="B33" s="33"/>
      <c r="C33" s="33"/>
      <c r="D33" s="33"/>
      <c r="E33" s="33"/>
      <c r="F33" s="33"/>
      <c r="G33" s="33"/>
      <c r="H33" s="33"/>
      <c r="I33" s="35"/>
      <c r="J33" s="36"/>
      <c r="M33" s="35"/>
      <c r="N33" s="36"/>
    </row>
    <row r="34" spans="1:16" s="2" customFormat="1" ht="15.75" x14ac:dyDescent="0.25">
      <c r="A34" s="34" t="s">
        <v>80</v>
      </c>
      <c r="B34" s="34"/>
      <c r="C34" s="34"/>
      <c r="D34" s="34"/>
      <c r="E34" s="34"/>
      <c r="F34" s="34"/>
      <c r="G34" s="34"/>
      <c r="H34" s="34"/>
      <c r="I34" s="35">
        <v>46121</v>
      </c>
      <c r="J34" s="35"/>
      <c r="K34" s="36" t="s">
        <v>36</v>
      </c>
      <c r="L34" s="36"/>
      <c r="M34" s="35">
        <v>46485</v>
      </c>
      <c r="N34" s="35"/>
    </row>
    <row r="35" spans="1:16" s="2" customFormat="1" ht="15.75" x14ac:dyDescent="0.25">
      <c r="A35" s="33" t="s">
        <v>81</v>
      </c>
      <c r="B35" s="33"/>
      <c r="C35" s="33"/>
      <c r="D35" s="33"/>
      <c r="E35" s="33"/>
      <c r="F35" s="33"/>
      <c r="G35" s="33"/>
      <c r="H35" s="33"/>
      <c r="I35" s="36"/>
      <c r="J35" s="36"/>
      <c r="M35" s="36"/>
      <c r="N35" s="36"/>
    </row>
    <row r="36" spans="1:16" s="2" customFormat="1" ht="15.75" customHeight="1" x14ac:dyDescent="0.25">
      <c r="A36" s="34" t="s">
        <v>82</v>
      </c>
      <c r="B36" s="34"/>
      <c r="C36" s="34"/>
      <c r="D36" s="34"/>
      <c r="E36" s="34"/>
      <c r="F36" s="34"/>
      <c r="G36" s="34"/>
      <c r="H36" s="34"/>
      <c r="I36" s="35">
        <v>46121</v>
      </c>
      <c r="J36" s="35"/>
      <c r="K36" s="36" t="s">
        <v>36</v>
      </c>
      <c r="L36" s="36"/>
      <c r="M36" s="35">
        <v>46485</v>
      </c>
      <c r="N36" s="35"/>
    </row>
    <row r="37" spans="1:16" s="2" customFormat="1" ht="15.75" x14ac:dyDescent="0.25">
      <c r="A37" s="33" t="s">
        <v>83</v>
      </c>
      <c r="B37" s="33"/>
      <c r="C37" s="33"/>
      <c r="D37" s="33"/>
      <c r="E37" s="33"/>
      <c r="F37" s="33"/>
      <c r="G37" s="33"/>
      <c r="H37" s="33"/>
      <c r="I37" s="36"/>
      <c r="J37" s="36"/>
      <c r="M37" s="36"/>
      <c r="N37" s="36"/>
    </row>
    <row r="38" spans="1:16" s="2" customFormat="1" ht="15.75" customHeight="1" x14ac:dyDescent="0.25">
      <c r="A38" s="34" t="s">
        <v>84</v>
      </c>
      <c r="B38" s="34"/>
      <c r="C38" s="34"/>
      <c r="D38" s="34"/>
      <c r="E38" s="34"/>
      <c r="F38" s="34"/>
      <c r="G38" s="34"/>
      <c r="H38" s="34"/>
      <c r="I38" s="35">
        <v>46121</v>
      </c>
      <c r="J38" s="35"/>
      <c r="K38" s="36" t="s">
        <v>36</v>
      </c>
      <c r="L38" s="36"/>
      <c r="M38" s="35">
        <v>46485</v>
      </c>
      <c r="N38" s="35"/>
    </row>
    <row r="39" spans="1:16" s="2" customFormat="1" ht="15.75" x14ac:dyDescent="0.25">
      <c r="A39" s="33" t="s">
        <v>34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spans="1:16" s="2" customFormat="1" ht="15.75" x14ac:dyDescent="0.25">
      <c r="A40" s="33" t="s">
        <v>37</v>
      </c>
      <c r="B40" s="33"/>
      <c r="C40" s="33"/>
      <c r="D40" s="33"/>
      <c r="E40" s="33"/>
      <c r="F40" s="33"/>
      <c r="G40" s="33"/>
      <c r="H40" s="33"/>
      <c r="I40" s="33"/>
      <c r="J40" s="33"/>
    </row>
    <row r="41" spans="1:16" s="2" customFormat="1" ht="15.75" x14ac:dyDescent="0.25">
      <c r="A41" s="34" t="s">
        <v>38</v>
      </c>
      <c r="B41" s="34"/>
      <c r="C41" s="34"/>
      <c r="D41" s="34"/>
      <c r="E41" s="34"/>
      <c r="F41" s="34"/>
      <c r="G41" s="34"/>
      <c r="H41" s="34"/>
      <c r="I41" s="35">
        <v>45953</v>
      </c>
      <c r="J41" s="35"/>
      <c r="K41" s="84" t="s">
        <v>36</v>
      </c>
      <c r="L41" s="84"/>
      <c r="M41" s="35">
        <v>46682</v>
      </c>
      <c r="N41" s="35"/>
    </row>
    <row r="42" spans="1:16" s="2" customFormat="1" ht="15.75" x14ac:dyDescent="0.25">
      <c r="A42" s="38" t="s">
        <v>77</v>
      </c>
      <c r="B42" s="38"/>
      <c r="C42" s="38"/>
      <c r="D42" s="38"/>
      <c r="E42" s="38"/>
      <c r="F42" s="38"/>
      <c r="G42" s="38"/>
      <c r="H42" s="38"/>
      <c r="M42" s="36"/>
      <c r="N42" s="36"/>
    </row>
    <row r="43" spans="1:16" s="2" customFormat="1" ht="15.75" x14ac:dyDescent="0.25">
      <c r="A43" s="37" t="s">
        <v>76</v>
      </c>
      <c r="B43" s="37"/>
      <c r="C43" s="37"/>
      <c r="D43" s="37"/>
      <c r="E43" s="37"/>
      <c r="F43" s="37"/>
      <c r="G43" s="37"/>
      <c r="H43" s="37"/>
      <c r="I43" s="35">
        <v>45572</v>
      </c>
      <c r="J43" s="36"/>
      <c r="K43" s="36" t="s">
        <v>36</v>
      </c>
      <c r="L43" s="36"/>
      <c r="M43" s="35">
        <v>46301</v>
      </c>
      <c r="N43" s="35"/>
    </row>
    <row r="44" spans="1:16" s="2" customFormat="1" ht="15.75" x14ac:dyDescent="0.25">
      <c r="A44" s="38" t="s">
        <v>78</v>
      </c>
      <c r="B44" s="38"/>
      <c r="C44" s="38"/>
      <c r="D44" s="38"/>
      <c r="E44" s="38"/>
      <c r="F44" s="38"/>
      <c r="G44" s="38"/>
      <c r="H44" s="38"/>
      <c r="I44" s="31"/>
      <c r="J44" s="30"/>
      <c r="K44" s="30"/>
      <c r="L44" s="30"/>
      <c r="M44" s="36"/>
      <c r="N44" s="36"/>
    </row>
    <row r="45" spans="1:16" s="2" customFormat="1" ht="15.75" x14ac:dyDescent="0.25">
      <c r="A45" s="34" t="s">
        <v>85</v>
      </c>
      <c r="B45" s="34"/>
      <c r="C45" s="34"/>
      <c r="D45" s="34"/>
      <c r="E45" s="34"/>
      <c r="F45" s="34"/>
      <c r="G45" s="34"/>
      <c r="H45" s="34"/>
      <c r="I45" s="35">
        <v>45572</v>
      </c>
      <c r="J45" s="35"/>
      <c r="K45" s="36" t="s">
        <v>36</v>
      </c>
      <c r="L45" s="36"/>
      <c r="M45" s="35">
        <v>46301</v>
      </c>
      <c r="N45" s="35"/>
    </row>
    <row r="46" spans="1:16" s="2" customFormat="1" ht="15.75" x14ac:dyDescent="0.25">
      <c r="A46" s="33" t="s">
        <v>74</v>
      </c>
      <c r="B46" s="33"/>
      <c r="C46" s="33"/>
      <c r="D46" s="33"/>
      <c r="E46" s="33"/>
      <c r="F46" s="33"/>
      <c r="G46" s="33"/>
      <c r="H46" s="33"/>
    </row>
    <row r="47" spans="1:16" s="2" customFormat="1" ht="15.75" x14ac:dyDescent="0.25">
      <c r="A47" s="37" t="s">
        <v>75</v>
      </c>
      <c r="B47" s="37"/>
      <c r="C47" s="37"/>
      <c r="D47" s="37"/>
      <c r="E47" s="37"/>
      <c r="F47" s="37"/>
      <c r="G47" s="37"/>
      <c r="H47" s="37"/>
      <c r="I47" s="35">
        <v>46094</v>
      </c>
      <c r="J47" s="35"/>
      <c r="K47" s="36" t="s">
        <v>73</v>
      </c>
      <c r="L47" s="36"/>
      <c r="M47" s="35">
        <v>46458</v>
      </c>
      <c r="N47" s="35"/>
    </row>
    <row r="48" spans="1:16" s="3" customFormat="1" ht="18" customHeight="1" x14ac:dyDescent="0.3">
      <c r="A48" s="19"/>
      <c r="B48" s="19"/>
      <c r="C48" s="19"/>
      <c r="D48" s="19"/>
      <c r="E48" s="19"/>
      <c r="F48" s="19"/>
      <c r="G48" s="19"/>
      <c r="H48" s="17"/>
      <c r="I48" s="18"/>
      <c r="J48" s="17"/>
      <c r="K48" s="2"/>
      <c r="L48" s="2"/>
      <c r="M48" s="2"/>
      <c r="N48" s="2"/>
      <c r="O48" s="2"/>
      <c r="P48" s="2"/>
    </row>
    <row r="49" spans="1:16" ht="18" customHeight="1" x14ac:dyDescent="0.25">
      <c r="A49" s="58" t="s">
        <v>19</v>
      </c>
      <c r="B49" s="58"/>
      <c r="C49" s="58"/>
      <c r="D49" s="58"/>
      <c r="E49" s="58"/>
      <c r="F49" s="58"/>
      <c r="G49" s="58"/>
      <c r="H49" s="58"/>
      <c r="I49" s="2"/>
      <c r="J49" s="2"/>
      <c r="K49" s="2"/>
      <c r="L49" s="2"/>
      <c r="M49" s="2"/>
      <c r="N49" s="2"/>
      <c r="O49" s="2"/>
      <c r="P49" s="2"/>
    </row>
    <row r="50" spans="1:16" ht="15" customHeight="1" x14ac:dyDescent="0.25">
      <c r="A50" s="38" t="s">
        <v>20</v>
      </c>
      <c r="B50" s="38"/>
      <c r="C50" s="38"/>
      <c r="D50" s="38"/>
      <c r="E50" s="38"/>
      <c r="F50" s="38"/>
      <c r="G50" s="38"/>
      <c r="H50" s="38"/>
      <c r="I50" s="2"/>
      <c r="J50" s="2"/>
      <c r="K50" s="2"/>
      <c r="L50" s="2"/>
      <c r="M50" s="2"/>
      <c r="N50" s="2"/>
      <c r="O50" s="2"/>
      <c r="P50" s="2"/>
    </row>
    <row r="51" spans="1:16" ht="15" customHeight="1" x14ac:dyDescent="0.25">
      <c r="A51" s="20" t="s">
        <v>5</v>
      </c>
      <c r="B51" s="38" t="s">
        <v>27</v>
      </c>
      <c r="C51" s="38"/>
      <c r="D51" s="38"/>
      <c r="E51" s="38"/>
      <c r="F51" s="38"/>
      <c r="G51" s="38"/>
      <c r="H51" s="38"/>
      <c r="I51" s="38"/>
      <c r="J51" s="38"/>
      <c r="K51" s="2"/>
      <c r="L51" s="2"/>
      <c r="M51" s="2"/>
      <c r="N51" s="2"/>
      <c r="O51" s="2"/>
      <c r="P51" s="2"/>
    </row>
    <row r="52" spans="1:16" ht="18" customHeight="1" x14ac:dyDescent="0.25">
      <c r="A52" s="20" t="s">
        <v>5</v>
      </c>
      <c r="B52" s="33" t="s">
        <v>26</v>
      </c>
      <c r="C52" s="33"/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</row>
    <row r="53" spans="1:16" ht="36" customHeight="1" x14ac:dyDescent="0.25">
      <c r="A53" s="15"/>
      <c r="B53" s="22" t="s">
        <v>28</v>
      </c>
      <c r="C53" s="48" t="s">
        <v>39</v>
      </c>
      <c r="D53" s="48"/>
      <c r="E53" s="43" t="s">
        <v>49</v>
      </c>
      <c r="F53" s="44"/>
      <c r="G53" s="45"/>
      <c r="H53" s="48" t="s">
        <v>50</v>
      </c>
      <c r="I53" s="48"/>
      <c r="J53" s="48"/>
      <c r="K53" s="48" t="s">
        <v>66</v>
      </c>
      <c r="L53" s="48"/>
      <c r="M53" s="11"/>
      <c r="N53" s="2"/>
      <c r="O53" s="2"/>
      <c r="P53" s="2"/>
    </row>
    <row r="54" spans="1:16" ht="15.75" x14ac:dyDescent="0.25">
      <c r="A54" s="15"/>
      <c r="B54" s="12"/>
      <c r="C54" s="42" t="s">
        <v>55</v>
      </c>
      <c r="D54" s="42"/>
      <c r="E54" s="42"/>
      <c r="F54" s="42"/>
      <c r="G54" s="42"/>
      <c r="H54" s="42"/>
      <c r="I54" s="42"/>
      <c r="J54" s="42"/>
      <c r="K54" s="42"/>
      <c r="L54" s="42"/>
      <c r="M54" s="15"/>
      <c r="N54" s="2"/>
      <c r="O54" s="2"/>
      <c r="P54" s="2"/>
    </row>
    <row r="55" spans="1:16" ht="15.75" x14ac:dyDescent="0.25">
      <c r="A55" s="8"/>
      <c r="B55" s="26" t="s">
        <v>69</v>
      </c>
      <c r="C55" s="42" t="s">
        <v>56</v>
      </c>
      <c r="D55" s="42"/>
      <c r="E55" s="42">
        <f>E54</f>
        <v>0</v>
      </c>
      <c r="F55" s="42"/>
      <c r="G55" s="42"/>
      <c r="H55" s="42">
        <v>100</v>
      </c>
      <c r="I55" s="42"/>
      <c r="J55" s="42"/>
      <c r="K55" s="42" t="s">
        <v>69</v>
      </c>
      <c r="L55" s="42"/>
      <c r="M55" s="15"/>
      <c r="N55" s="2"/>
      <c r="O55" s="2"/>
      <c r="P55" s="2"/>
    </row>
    <row r="56" spans="1:16" ht="9" customHeight="1" x14ac:dyDescent="0.25">
      <c r="A56" s="21"/>
      <c r="B56" s="46" t="s">
        <v>33</v>
      </c>
      <c r="C56" s="46"/>
      <c r="D56" s="46"/>
      <c r="E56" s="46"/>
      <c r="F56" s="46"/>
      <c r="G56" s="46"/>
      <c r="H56" s="46"/>
      <c r="I56" s="2"/>
      <c r="J56" s="2"/>
      <c r="K56" s="2"/>
      <c r="L56" s="2"/>
      <c r="M56" s="2"/>
      <c r="N56" s="2"/>
      <c r="O56" s="2"/>
      <c r="P56" s="2"/>
    </row>
    <row r="57" spans="1:16" ht="18.75" customHeight="1" x14ac:dyDescent="0.25">
      <c r="A57" s="33" t="s">
        <v>52</v>
      </c>
      <c r="B57" s="33"/>
      <c r="C57" s="33"/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</row>
    <row r="58" spans="1:16" ht="15.75" x14ac:dyDescent="0.25">
      <c r="A58" s="38" t="s">
        <v>53</v>
      </c>
      <c r="B58" s="38"/>
      <c r="C58" s="38"/>
      <c r="D58" s="38"/>
      <c r="E58" s="38"/>
      <c r="F58" s="38"/>
      <c r="G58" s="38"/>
      <c r="H58" s="38"/>
      <c r="I58" s="2"/>
      <c r="J58" s="2"/>
      <c r="K58" s="2"/>
      <c r="L58" s="2"/>
      <c r="M58" s="2"/>
      <c r="N58" s="2"/>
      <c r="O58" s="2"/>
      <c r="P58" s="2"/>
    </row>
    <row r="59" spans="1:16" ht="15" customHeight="1" x14ac:dyDescent="0.25">
      <c r="A59" s="38" t="s">
        <v>54</v>
      </c>
      <c r="B59" s="38"/>
      <c r="C59" s="38"/>
      <c r="D59" s="38"/>
      <c r="E59" s="9"/>
      <c r="F59" s="9"/>
      <c r="G59" s="9"/>
      <c r="H59" s="9"/>
      <c r="I59" s="2"/>
      <c r="J59" s="2"/>
      <c r="K59" s="2"/>
      <c r="L59" s="2"/>
      <c r="M59" s="2"/>
      <c r="N59" s="2"/>
      <c r="O59" s="2"/>
      <c r="P59" s="2"/>
    </row>
    <row r="60" spans="1:16" ht="24" customHeight="1" x14ac:dyDescent="0.25">
      <c r="B60" s="48" t="s">
        <v>58</v>
      </c>
      <c r="C60" s="48" t="s">
        <v>57</v>
      </c>
      <c r="D60" s="48" t="s">
        <v>29</v>
      </c>
      <c r="E60" s="48"/>
      <c r="F60" s="48"/>
      <c r="G60" s="48" t="s">
        <v>30</v>
      </c>
      <c r="H60" s="48"/>
      <c r="I60" s="48"/>
      <c r="J60" s="48" t="s">
        <v>31</v>
      </c>
      <c r="K60" s="48"/>
      <c r="L60" s="48"/>
      <c r="M60" s="2"/>
    </row>
    <row r="61" spans="1:16" ht="21.75" customHeight="1" x14ac:dyDescent="0.25">
      <c r="B61" s="48"/>
      <c r="C61" s="48"/>
      <c r="D61" s="48" t="s">
        <v>62</v>
      </c>
      <c r="E61" s="48"/>
      <c r="F61" s="48"/>
      <c r="G61" s="48"/>
      <c r="H61" s="48"/>
      <c r="I61" s="48"/>
      <c r="J61" s="48"/>
      <c r="K61" s="48"/>
      <c r="L61" s="48"/>
      <c r="M61" s="2"/>
    </row>
    <row r="62" spans="1:16" ht="25.5" customHeight="1" x14ac:dyDescent="0.25">
      <c r="B62" s="48"/>
      <c r="C62" s="48"/>
      <c r="D62" s="23">
        <v>80</v>
      </c>
      <c r="E62" s="23">
        <v>100</v>
      </c>
      <c r="F62" s="23">
        <v>120</v>
      </c>
      <c r="G62" s="23">
        <v>80</v>
      </c>
      <c r="H62" s="23">
        <v>100</v>
      </c>
      <c r="I62" s="23">
        <v>120</v>
      </c>
      <c r="J62" s="23">
        <v>80</v>
      </c>
      <c r="K62" s="23">
        <v>100</v>
      </c>
      <c r="L62" s="23">
        <v>120</v>
      </c>
      <c r="M62" s="13"/>
    </row>
    <row r="63" spans="1:16" ht="24.75" customHeight="1" x14ac:dyDescent="0.25">
      <c r="B63" s="48"/>
      <c r="C63" s="48"/>
      <c r="D63" s="89" t="s">
        <v>51</v>
      </c>
      <c r="E63" s="89"/>
      <c r="F63" s="89"/>
      <c r="G63" s="89" t="s">
        <v>51</v>
      </c>
      <c r="H63" s="89"/>
      <c r="I63" s="89"/>
      <c r="J63" s="89" t="s">
        <v>51</v>
      </c>
      <c r="K63" s="89"/>
      <c r="L63" s="89"/>
      <c r="M63" s="13"/>
    </row>
    <row r="64" spans="1:16" ht="30" customHeight="1" x14ac:dyDescent="0.25">
      <c r="A64" s="28"/>
      <c r="B64" s="42">
        <v>100</v>
      </c>
      <c r="C64" s="25" t="s">
        <v>59</v>
      </c>
      <c r="D64" s="29">
        <f ca="1">-0.2+RANDBETWEEN(-10,10)/100+RANDBETWEEN(-10,10)/150+RANDBETWEEN(-10,10)/500</f>
        <v>-0.21333333333333337</v>
      </c>
      <c r="E64" s="29">
        <f t="shared" ref="E64:L64" ca="1" si="0">-0.2+RANDBETWEEN(-10,10)/100+RANDBETWEEN(-10,10)/150+RANDBETWEEN(-10,10)/500</f>
        <v>-0.2446666666666667</v>
      </c>
      <c r="F64" s="29">
        <f t="shared" ca="1" si="0"/>
        <v>-0.24933333333333341</v>
      </c>
      <c r="G64" s="29">
        <f t="shared" ca="1" si="0"/>
        <v>-0.1246666666666667</v>
      </c>
      <c r="H64" s="29">
        <f t="shared" ca="1" si="0"/>
        <v>-0.214</v>
      </c>
      <c r="I64" s="29">
        <f t="shared" ca="1" si="0"/>
        <v>-0.29933333333333334</v>
      </c>
      <c r="J64" s="29">
        <f t="shared" ca="1" si="0"/>
        <v>-0.32666666666666672</v>
      </c>
      <c r="K64" s="29">
        <f t="shared" ca="1" si="0"/>
        <v>-0.19466666666666665</v>
      </c>
      <c r="L64" s="29">
        <f t="shared" ca="1" si="0"/>
        <v>-0.08</v>
      </c>
      <c r="M64" s="13"/>
    </row>
    <row r="65" spans="1:16" ht="30" customHeight="1" x14ac:dyDescent="0.25">
      <c r="A65" s="28"/>
      <c r="B65" s="42"/>
      <c r="C65" s="25" t="s">
        <v>60</v>
      </c>
      <c r="D65" s="29">
        <f ca="1">14+RANDBETWEEN(-10,10)/5+RANDBETWEEN(-10,10)/150+RANDBETWEEN(-10,10)/500</f>
        <v>14.012</v>
      </c>
      <c r="E65" s="29">
        <f t="shared" ref="E65:L65" ca="1" si="1">14+RANDBETWEEN(-10,10)/5+RANDBETWEEN(-10,10)/150+RANDBETWEEN(-10,10)/500</f>
        <v>15.823333333333334</v>
      </c>
      <c r="F65" s="29">
        <f t="shared" ca="1" si="1"/>
        <v>13.383333333333333</v>
      </c>
      <c r="G65" s="29">
        <f t="shared" ca="1" si="1"/>
        <v>14.556000000000001</v>
      </c>
      <c r="H65" s="29">
        <f t="shared" ca="1" si="1"/>
        <v>15.762000000000002</v>
      </c>
      <c r="I65" s="29">
        <f t="shared" ca="1" si="1"/>
        <v>14.58</v>
      </c>
      <c r="J65" s="29">
        <f t="shared" ca="1" si="1"/>
        <v>14.950666666666667</v>
      </c>
      <c r="K65" s="29">
        <f t="shared" ca="1" si="1"/>
        <v>16.039333333333335</v>
      </c>
      <c r="L65" s="29">
        <f t="shared" ca="1" si="1"/>
        <v>11.98</v>
      </c>
      <c r="M65" s="13"/>
    </row>
    <row r="66" spans="1:16" ht="30" customHeight="1" x14ac:dyDescent="0.25">
      <c r="A66" s="28"/>
      <c r="B66" s="42">
        <v>25</v>
      </c>
      <c r="C66" s="32" t="s">
        <v>59</v>
      </c>
      <c r="D66" s="29">
        <f ca="1">0.2+RANDBETWEEN(-10,10)/100+RANDBETWEEN(-10,10)/150+RANDBETWEEN(-10,10)/500</f>
        <v>0.23066666666666669</v>
      </c>
      <c r="E66" s="29">
        <f t="shared" ref="E66:L66" ca="1" si="2">0.2+RANDBETWEEN(-10,10)/100+RANDBETWEEN(-10,10)/150+RANDBETWEEN(-10,10)/500</f>
        <v>0.17</v>
      </c>
      <c r="F66" s="29">
        <f t="shared" ca="1" si="2"/>
        <v>0.26600000000000001</v>
      </c>
      <c r="G66" s="29">
        <f t="shared" ca="1" si="2"/>
        <v>0.21000000000000002</v>
      </c>
      <c r="H66" s="29">
        <f t="shared" ca="1" si="2"/>
        <v>0.26666666666666666</v>
      </c>
      <c r="I66" s="29">
        <f t="shared" ca="1" si="2"/>
        <v>0.104</v>
      </c>
      <c r="J66" s="29">
        <f t="shared" ca="1" si="2"/>
        <v>4.933333333333334E-2</v>
      </c>
      <c r="K66" s="29">
        <f t="shared" ca="1" si="2"/>
        <v>0.24733333333333335</v>
      </c>
      <c r="L66" s="29">
        <f t="shared" ca="1" si="2"/>
        <v>0.26466666666666666</v>
      </c>
      <c r="M66" s="13"/>
    </row>
    <row r="67" spans="1:16" ht="30" customHeight="1" x14ac:dyDescent="0.25">
      <c r="A67" s="28"/>
      <c r="B67" s="42"/>
      <c r="C67" s="32" t="s">
        <v>60</v>
      </c>
      <c r="D67" s="29">
        <f ca="1">10+RANDBETWEEN(-10,10)/5+RANDBETWEEN(-10,10)/150+RANDBETWEEN(-10,10)/500</f>
        <v>9.4353333333333342</v>
      </c>
      <c r="E67" s="29">
        <f t="shared" ref="E67:L67" ca="1" si="3">10+RANDBETWEEN(-10,10)/5+RANDBETWEEN(-10,10)/150+RANDBETWEEN(-10,10)/500</f>
        <v>11.351333333333333</v>
      </c>
      <c r="F67" s="29">
        <f t="shared" ca="1" si="3"/>
        <v>8.2639999999999993</v>
      </c>
      <c r="G67" s="29">
        <f t="shared" ca="1" si="3"/>
        <v>10.818000000000001</v>
      </c>
      <c r="H67" s="29">
        <f t="shared" ca="1" si="3"/>
        <v>8.6419999999999995</v>
      </c>
      <c r="I67" s="29">
        <f t="shared" ca="1" si="3"/>
        <v>12.08</v>
      </c>
      <c r="J67" s="29">
        <f t="shared" ca="1" si="3"/>
        <v>9.5920000000000005</v>
      </c>
      <c r="K67" s="29">
        <f t="shared" ca="1" si="3"/>
        <v>10.336666666666668</v>
      </c>
      <c r="L67" s="29">
        <f t="shared" ca="1" si="3"/>
        <v>8.9386666666666681</v>
      </c>
      <c r="M67" s="13"/>
    </row>
    <row r="68" spans="1:16" ht="30" customHeight="1" x14ac:dyDescent="0.25">
      <c r="A68" s="98"/>
      <c r="B68" s="42" t="s">
        <v>86</v>
      </c>
      <c r="C68" s="42"/>
      <c r="D68" s="42"/>
      <c r="E68" s="42"/>
      <c r="F68" s="42"/>
      <c r="G68" s="42"/>
      <c r="H68" s="42"/>
      <c r="I68" s="42"/>
      <c r="J68" s="42"/>
      <c r="K68" s="100">
        <f ca="1">0.2+RANDBETWEEN(-1,1)/10+RANDBETWEEN(-1,1)/10+RANDBETWEEN(-1,1)/20+RANDBETWEEN(-1,1)/500+RANDBETWEEN(-1,1)/1000+RANDBETWEEN(-1,1)/1000</f>
        <v>0.10200000000000001</v>
      </c>
      <c r="L68" s="100"/>
      <c r="M68" s="13"/>
    </row>
    <row r="69" spans="1:16" ht="12" customHeight="1" x14ac:dyDescent="0.25">
      <c r="A69" s="98"/>
      <c r="B69" s="15"/>
      <c r="C69" s="15"/>
      <c r="D69" s="97"/>
      <c r="E69" s="97"/>
      <c r="F69" s="97"/>
      <c r="G69" s="97"/>
      <c r="H69" s="97"/>
      <c r="I69" s="97"/>
      <c r="J69" s="97"/>
      <c r="K69" s="97"/>
      <c r="L69" s="97"/>
      <c r="M69" s="13"/>
    </row>
    <row r="70" spans="1:16" s="7" customFormat="1" ht="46.5" customHeight="1" x14ac:dyDescent="0.3">
      <c r="A70" s="99" t="s">
        <v>61</v>
      </c>
      <c r="B70" s="99"/>
      <c r="C70" s="99"/>
      <c r="D70" s="99"/>
      <c r="E70" s="99"/>
      <c r="F70" s="99"/>
      <c r="G70" s="99"/>
      <c r="H70" s="99"/>
      <c r="I70" s="99"/>
      <c r="J70" s="99"/>
      <c r="K70" s="9"/>
      <c r="L70" s="9"/>
      <c r="M70" s="9"/>
      <c r="N70" s="9"/>
      <c r="O70" s="9"/>
      <c r="P70" s="9"/>
    </row>
    <row r="71" spans="1:16" s="3" customFormat="1" ht="16.5" customHeight="1" x14ac:dyDescent="0.3">
      <c r="A71" s="18"/>
      <c r="B71" s="18"/>
      <c r="C71" s="18"/>
      <c r="D71" s="18"/>
      <c r="E71" s="18"/>
      <c r="F71" s="18"/>
      <c r="G71" s="36"/>
      <c r="H71" s="36"/>
      <c r="I71" s="2"/>
      <c r="J71" s="2"/>
      <c r="K71" s="2"/>
      <c r="L71" s="2"/>
      <c r="M71" s="2"/>
      <c r="N71" s="2"/>
      <c r="O71" s="2"/>
      <c r="P71" s="2"/>
    </row>
    <row r="72" spans="1:16" s="3" customFormat="1" ht="17.25" customHeight="1" x14ac:dyDescent="0.3">
      <c r="A72" s="18"/>
      <c r="B72" s="18"/>
      <c r="C72" s="18"/>
      <c r="D72" s="18"/>
      <c r="E72" s="18"/>
      <c r="F72" s="18"/>
      <c r="G72" s="18"/>
      <c r="H72" s="18"/>
      <c r="I72" s="2"/>
      <c r="J72" s="2"/>
      <c r="K72" s="2"/>
      <c r="L72" s="2"/>
      <c r="M72" s="2"/>
      <c r="N72" s="2"/>
      <c r="O72" s="2"/>
      <c r="P72" s="2"/>
    </row>
    <row r="73" spans="1:16" s="3" customFormat="1" ht="17.25" customHeight="1" x14ac:dyDescent="0.3">
      <c r="A73" s="18"/>
      <c r="B73" s="18" t="s">
        <v>21</v>
      </c>
      <c r="C73" s="41"/>
      <c r="D73" s="41"/>
      <c r="E73" s="2"/>
      <c r="F73" s="40" t="s">
        <v>35</v>
      </c>
      <c r="G73" s="40"/>
      <c r="H73" s="40"/>
      <c r="I73" s="2"/>
      <c r="J73" s="2"/>
      <c r="K73" s="2"/>
      <c r="L73" s="2"/>
      <c r="M73" s="2"/>
      <c r="N73" s="2"/>
      <c r="O73" s="2"/>
      <c r="P73" s="2"/>
    </row>
    <row r="74" spans="1:16" ht="17.25" customHeight="1" x14ac:dyDescent="0.25">
      <c r="C74" s="39"/>
      <c r="D74" s="39"/>
      <c r="F74" s="39" t="s">
        <v>22</v>
      </c>
      <c r="G74" s="39"/>
      <c r="H74" s="39"/>
    </row>
  </sheetData>
  <mergeCells count="156">
    <mergeCell ref="A21:E21"/>
    <mergeCell ref="B68:J68"/>
    <mergeCell ref="K68:L68"/>
    <mergeCell ref="I17:K17"/>
    <mergeCell ref="L17:N17"/>
    <mergeCell ref="F18:H18"/>
    <mergeCell ref="I18:K18"/>
    <mergeCell ref="L18:N18"/>
    <mergeCell ref="I25:J25"/>
    <mergeCell ref="I24:J24"/>
    <mergeCell ref="I23:J23"/>
    <mergeCell ref="K25:L25"/>
    <mergeCell ref="K24:L24"/>
    <mergeCell ref="F19:H19"/>
    <mergeCell ref="I19:K19"/>
    <mergeCell ref="F17:H17"/>
    <mergeCell ref="B52:H52"/>
    <mergeCell ref="H53:J53"/>
    <mergeCell ref="A50:H50"/>
    <mergeCell ref="B51:J51"/>
    <mergeCell ref="K47:L47"/>
    <mergeCell ref="K45:L45"/>
    <mergeCell ref="A57:H57"/>
    <mergeCell ref="A49:H49"/>
    <mergeCell ref="F13:N13"/>
    <mergeCell ref="F14:H14"/>
    <mergeCell ref="I14:K14"/>
    <mergeCell ref="L14:N14"/>
    <mergeCell ref="F15:H15"/>
    <mergeCell ref="I15:K15"/>
    <mergeCell ref="L15:N15"/>
    <mergeCell ref="A16:E16"/>
    <mergeCell ref="F16:H16"/>
    <mergeCell ref="I16:K16"/>
    <mergeCell ref="L16:N16"/>
    <mergeCell ref="L19:N19"/>
    <mergeCell ref="F20:H20"/>
    <mergeCell ref="I20:K20"/>
    <mergeCell ref="L20:N20"/>
    <mergeCell ref="M23:N23"/>
    <mergeCell ref="D7:E7"/>
    <mergeCell ref="A32:N32"/>
    <mergeCell ref="A33:H33"/>
    <mergeCell ref="A39:N39"/>
    <mergeCell ref="A42:H42"/>
    <mergeCell ref="A23:H23"/>
    <mergeCell ref="K34:L34"/>
    <mergeCell ref="K41:L41"/>
    <mergeCell ref="K43:L43"/>
    <mergeCell ref="M28:N28"/>
    <mergeCell ref="M29:N29"/>
    <mergeCell ref="A24:H24"/>
    <mergeCell ref="A25:H25"/>
    <mergeCell ref="A26:H26"/>
    <mergeCell ref="A27:H27"/>
    <mergeCell ref="A28:H28"/>
    <mergeCell ref="A29:H29"/>
    <mergeCell ref="A18:E18"/>
    <mergeCell ref="I33:J33"/>
    <mergeCell ref="I35:J35"/>
    <mergeCell ref="I37:J37"/>
    <mergeCell ref="K23:L23"/>
    <mergeCell ref="M25:N25"/>
    <mergeCell ref="M24:N24"/>
    <mergeCell ref="A19:E19"/>
    <mergeCell ref="A9:D9"/>
    <mergeCell ref="A10:D10"/>
    <mergeCell ref="I41:J41"/>
    <mergeCell ref="I43:J43"/>
    <mergeCell ref="I45:J45"/>
    <mergeCell ref="M45:N45"/>
    <mergeCell ref="K28:L28"/>
    <mergeCell ref="K29:L29"/>
    <mergeCell ref="M26:N26"/>
    <mergeCell ref="M27:N27"/>
    <mergeCell ref="I29:J29"/>
    <mergeCell ref="I27:J27"/>
    <mergeCell ref="I28:J28"/>
    <mergeCell ref="K26:L26"/>
    <mergeCell ref="K27:L27"/>
    <mergeCell ref="M35:N35"/>
    <mergeCell ref="M37:N37"/>
    <mergeCell ref="M41:N41"/>
    <mergeCell ref="M43:N43"/>
    <mergeCell ref="M42:N42"/>
    <mergeCell ref="M33:N33"/>
    <mergeCell ref="A15:E15"/>
    <mergeCell ref="A17:E17"/>
    <mergeCell ref="C1:L5"/>
    <mergeCell ref="C53:D53"/>
    <mergeCell ref="C54:D54"/>
    <mergeCell ref="C55:D55"/>
    <mergeCell ref="E54:G54"/>
    <mergeCell ref="E55:G55"/>
    <mergeCell ref="H54:J54"/>
    <mergeCell ref="H55:J55"/>
    <mergeCell ref="K53:L53"/>
    <mergeCell ref="K54:L54"/>
    <mergeCell ref="K55:L55"/>
    <mergeCell ref="A12:E12"/>
    <mergeCell ref="A20:E20"/>
    <mergeCell ref="I26:J26"/>
    <mergeCell ref="A7:C7"/>
    <mergeCell ref="G7:H7"/>
    <mergeCell ref="A31:B31"/>
    <mergeCell ref="F21:N21"/>
    <mergeCell ref="E9:N9"/>
    <mergeCell ref="E10:N10"/>
    <mergeCell ref="A11:D11"/>
    <mergeCell ref="E11:N11"/>
    <mergeCell ref="F12:N12"/>
    <mergeCell ref="A13:E14"/>
    <mergeCell ref="F74:H74"/>
    <mergeCell ref="F73:H73"/>
    <mergeCell ref="G71:H71"/>
    <mergeCell ref="C74:D74"/>
    <mergeCell ref="C73:D73"/>
    <mergeCell ref="A70:J70"/>
    <mergeCell ref="B66:B67"/>
    <mergeCell ref="B64:B65"/>
    <mergeCell ref="E53:G53"/>
    <mergeCell ref="A59:D59"/>
    <mergeCell ref="B56:H56"/>
    <mergeCell ref="A58:H58"/>
    <mergeCell ref="B60:B63"/>
    <mergeCell ref="C60:C63"/>
    <mergeCell ref="D60:F60"/>
    <mergeCell ref="G60:I60"/>
    <mergeCell ref="J60:L60"/>
    <mergeCell ref="D61:L61"/>
    <mergeCell ref="D63:F63"/>
    <mergeCell ref="G63:I63"/>
    <mergeCell ref="J63:L63"/>
    <mergeCell ref="A46:H46"/>
    <mergeCell ref="M47:N47"/>
    <mergeCell ref="I47:J47"/>
    <mergeCell ref="A37:H37"/>
    <mergeCell ref="A41:H41"/>
    <mergeCell ref="A47:H47"/>
    <mergeCell ref="A40:J40"/>
    <mergeCell ref="A43:H43"/>
    <mergeCell ref="A44:H44"/>
    <mergeCell ref="A45:H45"/>
    <mergeCell ref="M44:N44"/>
    <mergeCell ref="A35:H35"/>
    <mergeCell ref="A34:H34"/>
    <mergeCell ref="A36:H36"/>
    <mergeCell ref="A38:H38"/>
    <mergeCell ref="I34:J34"/>
    <mergeCell ref="M34:N34"/>
    <mergeCell ref="I36:J36"/>
    <mergeCell ref="K36:L36"/>
    <mergeCell ref="M36:N36"/>
    <mergeCell ref="I38:J38"/>
    <mergeCell ref="K38:L38"/>
    <mergeCell ref="M38:N38"/>
  </mergeCells>
  <conditionalFormatting sqref="H48">
    <cfRule type="cellIs" dxfId="12" priority="25" operator="greaterThan">
      <formula>$G$7</formula>
    </cfRule>
  </conditionalFormatting>
  <conditionalFormatting sqref="J48">
    <cfRule type="cellIs" dxfId="11" priority="24" operator="lessThan">
      <formula>$G$7</formula>
    </cfRule>
  </conditionalFormatting>
  <conditionalFormatting sqref="I41">
    <cfRule type="cellIs" dxfId="10" priority="19" operator="greaterThan">
      <formula>$F$7</formula>
    </cfRule>
  </conditionalFormatting>
  <conditionalFormatting sqref="I47">
    <cfRule type="cellIs" dxfId="9" priority="17" operator="greaterThan">
      <formula>$F$7</formula>
    </cfRule>
  </conditionalFormatting>
  <conditionalFormatting sqref="M47">
    <cfRule type="cellIs" dxfId="8" priority="16" operator="lessThan">
      <formula>$F$7</formula>
    </cfRule>
  </conditionalFormatting>
  <conditionalFormatting sqref="M34">
    <cfRule type="cellIs" dxfId="7" priority="9" operator="lessThan">
      <formula>$F$7</formula>
    </cfRule>
  </conditionalFormatting>
  <conditionalFormatting sqref="M36">
    <cfRule type="cellIs" dxfId="6" priority="8" operator="lessThan">
      <formula>$F$7</formula>
    </cfRule>
  </conditionalFormatting>
  <conditionalFormatting sqref="M43:N43">
    <cfRule type="cellIs" dxfId="5" priority="7" operator="lessThan">
      <formula>$F$7</formula>
    </cfRule>
  </conditionalFormatting>
  <conditionalFormatting sqref="M41">
    <cfRule type="cellIs" dxfId="4" priority="6" operator="lessThan">
      <formula>$F$7</formula>
    </cfRule>
  </conditionalFormatting>
  <conditionalFormatting sqref="M43">
    <cfRule type="cellIs" dxfId="3" priority="4" operator="lessThan">
      <formula>$F$7</formula>
    </cfRule>
  </conditionalFormatting>
  <conditionalFormatting sqref="M45">
    <cfRule type="cellIs" dxfId="2" priority="3" operator="lessThan">
      <formula>$F$7</formula>
    </cfRule>
  </conditionalFormatting>
  <conditionalFormatting sqref="I45">
    <cfRule type="cellIs" dxfId="1" priority="2" operator="greaterThan">
      <formula>$F$7</formula>
    </cfRule>
  </conditionalFormatting>
  <conditionalFormatting sqref="M38">
    <cfRule type="cellIs" dxfId="0" priority="1" operator="lessThan">
      <formula>$F$7</formula>
    </cfRule>
  </conditionalFormatting>
  <dataValidations count="2">
    <dataValidation type="list" allowBlank="1" showInputMessage="1" showErrorMessage="1" sqref="B55">
      <formula1>KT</formula1>
    </dataValidation>
    <dataValidation errorStyle="information" allowBlank="1" showInputMessage="1" showErrorMessage="1" error="БРАК" sqref="D66:L66 D64:L64"/>
  </dataValidations>
  <pageMargins left="0.4" right="0.23622047244094491" top="0" bottom="0.74803149606299213" header="0.31496062992125984" footer="0.31496062992125984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Пользователь Windows</cp:lastModifiedBy>
  <cp:lastPrinted>2026-03-25T11:47:36Z</cp:lastPrinted>
  <dcterms:created xsi:type="dcterms:W3CDTF">2023-11-16T07:54:04Z</dcterms:created>
  <dcterms:modified xsi:type="dcterms:W3CDTF">2026-07-24T08:04:57Z</dcterms:modified>
</cp:coreProperties>
</file>